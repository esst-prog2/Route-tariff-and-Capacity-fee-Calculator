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or" sheetId="1" state="visible" r:id="rId1"/>
    <sheet name="Calc" sheetId="2" state="hidden" r:id="rId2"/>
    <sheet name="Lists" sheetId="3" state="hidden" r:id="rId3"/>
    <sheet name="Points" sheetId="4" state="hidden" r:id="rId4"/>
    <sheet name="Tariffs" sheetId="5" state="hidden" r:id="rId5"/>
    <sheet name="Rules" sheetId="6" state="hidden" r:id="rId6"/>
  </sheets>
  <definedNames>
    <definedName name="rl_code">'Rules'!$A$2:$A$22</definedName>
    <definedName name="rl_name">'Rules'!$B$2:$B$22</definedName>
    <definedName name="rl_currency">'Rules'!$C$2:$C$22</definedName>
    <definedName name="rl_unit">'Rules'!$D$2:$D$22</definedName>
    <definedName name="rl_curdec">'Rules'!$E$2:$E$22</definedName>
    <definedName name="rl_tdec">'Rules'!$F$2:$F$22</definedName>
    <definedName name="rl_eq_gy">'Rules'!$G$2:$G$22</definedName>
    <definedName name="rl_eq_q">'Rules'!$H$2:$H$22</definedName>
    <definedName name="rl_hours">'Rules'!$I$2:$I$22</definedName>
    <definedName name="pt_id">'Points'!$A$2:$A$124</definedName>
    <definedName name="pt_tso">'Points'!$B$2:$B$124</definedName>
    <definedName name="pt_tso_name">'Points'!$C$2:$C$124</definedName>
    <definedName name="pt_direction">'Points'!$D$2:$D$124</definedName>
    <definedName name="pt_eic">'Points'!$E$2:$E$124</definedName>
    <definedName name="pt_name">'Points'!$F$2:$F$124</definedName>
    <definedName name="pt_captype">'Points'!$G$2:$G$124</definedName>
    <definedName name="pt_currency">'Points'!$H$2:$H$124</definedName>
    <definedName name="pt_unit">'Points'!$I$2:$I$124</definedName>
    <definedName name="pt_frow">'Points'!$J$2:$J$124</definedName>
    <definedName name="pt_count">'Points'!$K$2:$K$124</definedName>
    <definedName name="pt_first_gy">'Points'!$L$2:$L$124</definedName>
    <definedName name="tr_header">'Tariffs'!$G$1:$AI$1</definedName>
    <definedName name="lst_booking">'Lists'!$A$2:$A$4</definedName>
    <definedName name="lst_instrument">'Lists'!$B$2:$B$5</definedName>
    <definedName name="lst_unit">'Lists'!$C$2:$C$3</definedName>
    <definedName name="lst_tso_name">'Lists'!$E$2:$E$22</definedName>
    <definedName name="lst_tso_start">'Lists'!$G$2:$G$22</definedName>
    <definedName name="lst_tso_count">'Lists'!$H$2:$H$22</definedName>
    <definedName name="lst_label">'Lists'!$J$1:$J$167</definedName>
    <definedName name="lst_id1">'Lists'!$K$1:$K$167</definedName>
    <definedName name="lst_id2">'Lists'!$L$1:$L$167</definedName>
    <definedName name="lst_heading">'Lists'!$M$1:$M$167</definedName>
    <definedName name="lst_rate_cur">'Lists'!$O$2:$O$5</definedName>
    <definedName name="c_booking_ok">'Calc'!$B$2</definedName>
    <definedName name="c_bundle">'Calc'!$B$3</definedName>
    <definedName name="c_single">'Calc'!$B$4</definedName>
    <definedName name="c_lng">'Calc'!$B$5</definedName>
    <definedName name="c_tso_row">'Calc'!$B$6</definedName>
    <definedName name="c_tso_ok">'Calc'!$B$7</definedName>
    <definedName name="c_list_start">'Calc'!$B$8</definedName>
    <definedName name="c_list_count">'Calc'!$B$9</definedName>
    <definedName name="dv_points">OFFSET(Lists!$J$1,c_list_start-1,0,MAX(1,c_list_count),1)</definedName>
    <definedName name="c_point_pos">'Calc'!$B$10</definedName>
    <definedName name="c_point_ok">'Calc'!$B$11</definedName>
    <definedName name="c_label_row">'Calc'!$B$12</definedName>
    <definedName name="c_id1">'Calc'!$B$13</definedName>
    <definedName name="c_id2">'Calc'!$B$14</definedName>
    <definedName name="c_heading_label">'Calc'!$B$15</definedName>
    <definedName name="c_inst">'Calc'!$B$16</definedName>
    <definedName name="c_today_gy">'Calc'!$B$17</definedName>
    <definedName name="c_last_gy">'Calc'!$B$18</definedName>
    <definedName name="c_first_gy">'Calc'!$B$19</definedName>
    <definedName name="c_n_gy">'Calc'!$B$20</definedName>
    <definedName name="c_period_count">'Calc'!$B$21</definedName>
    <definedName name="dv_periods">OFFSET(Calc!$D$2,0,0,MAX(1,MIN(276,c_period_count)),1)</definedName>
    <definedName name="c_period_pos">'Calc'!$B$22</definedName>
    <definedName name="c_day_ok">'Calc'!$B$23</definedName>
    <definedName name="c_period_ok">'Calc'!$B$24</definedName>
    <definedName name="c_py">'Calc'!$B$25</definedName>
    <definedName name="c_pq">'Calc'!$B$26</definedName>
    <definedName name="c_pm">'Calc'!$B$27</definedName>
    <definedName name="c_start">'Calc'!$B$28</definedName>
    <definedName name="c_end">'Calc'!$B$29</definedName>
    <definedName name="c_unit_hours">'Calc'!$B$30</definedName>
    <definedName name="c_capacity_ok">'Calc'!$B$31</definedName>
    <definedName name="c_kwh_d">'Calc'!$B$32</definedName>
    <definedName name="c_input_msg">'Calc'!$B$33</definedName>
    <definedName name="c_inputs_ok">'Calc'!$B$34</definedName>
    <definedName name="c_notariff_msg">'Calc'!$B$35</definedName>
    <definedName name="c_msg">'Calc'!$B$36</definedName>
    <definedName name="c_ok">'Calc'!$B$37</definedName>
    <definedName name="c_heading">'Calc'!$B$38</definedName>
    <definedName name="c_eur_on">'Calc'!$B$39</definedName>
    <definedName name="c_r1_cur">'Calc'!$B$40</definedName>
    <definedName name="c_r2_cur">'Calc'!$B$41</definedName>
    <definedName name="c_r1_state">'Calc'!$B$42</definedName>
    <definedName name="c_r1_rate">'Calc'!$B$43</definedName>
    <definedName name="c_r2_state">'Calc'!$B$44</definedName>
    <definedName name="c_r2_rate">'Calc'!$B$45</definedName>
    <definedName name="c_missing_1">'Calc'!$B$46</definedName>
    <definedName name="c_missing_2">'Calc'!$B$47</definedName>
    <definedName name="c_missing_names">'Calc'!$B$48</definedName>
    <definedName name="c_invalid_1">'Calc'!$B$49</definedName>
    <definedName name="c_invalid_2">'Calc'!$B$50</definedName>
    <definedName name="c_invalid_names">'Calc'!$B$51</definedName>
    <definedName name="c_missing_text">'Calc'!$B$52</definedName>
    <definedName name="c_invalid_text">'Calc'!$B$53</definedName>
    <definedName name="c_eur_msg">'Calc'!$B$54</definedName>
    <definedName name="c_eur_ready">'Calc'!$B$55</definedName>
    <definedName name="c_eur_total">'Calc'!$B$56</definedName>
    <definedName name="c_r1_text">'Calc'!$B$57</definedName>
    <definedName name="c_r2_text">'Calc'!$B$58</definedName>
    <definedName name="c_eur_caption">'Calc'!$B$59</definedName>
    <definedName name="c_need_CZK">'Calc'!$B$60</definedName>
    <definedName name="c_need_HUF">'Calc'!$B$61</definedName>
    <definedName name="c_need_PLN">'Calc'!$B$62</definedName>
    <definedName name="c_need_RON">'Calc'!$B$63</definedName>
    <definedName name="sa_id">'Calc'!$B$283</definedName>
    <definedName name="sa_has">'Calc'!$B$284</definedName>
    <definedName name="sa_ready">'Calc'!$B$285</definedName>
    <definedName name="sa_tso">'Calc'!$B$286</definedName>
    <definedName name="sa_tso_name">'Calc'!$B$287</definedName>
    <definedName name="sa_direction">'Calc'!$B$288</definedName>
    <definedName name="sa_name">'Calc'!$B$289</definedName>
    <definedName name="sa_currency">'Calc'!$B$290</definedName>
    <definedName name="sa_unit">'Calc'!$B$291</definedName>
    <definedName name="sa_captype">'Calc'!$B$292</definedName>
    <definedName name="sa_frow">'Calc'!$B$293</definedName>
    <definedName name="sa_count">'Calc'!$B$294</definedName>
    <definedName name="sa_rule">'Calc'!$B$295</definedName>
    <definedName name="sa_curdec">'Calc'!$B$296</definedName>
    <definedName name="sa_tdec">'Calc'!$B$297</definedName>
    <definedName name="sa_equal">'Calc'!$B$298</definedName>
    <definedName name="sa_uhours">'Calc'!$B$299</definedName>
    <definedName name="sa_col">'Calc'!$B$300</definedName>
    <definedName name="sa_colname">'Calc'!$B$301</definedName>
    <definedName name="sa_pdays">'Calc'!$B$302</definedName>
    <definedName name="sa_nmonths">'Calc'!$B$303</definedName>
    <definedName name="sa_covered">'Calc'!$B$304</definedName>
    <definedName name="sa_notariff">'Calc'!$B$305</definedName>
    <definedName name="sa_miss_start">'Calc'!$B$306</definedName>
    <definedName name="sa_firstmiss">'Calc'!$B$307</definedName>
    <definedName name="sa_missing_msg">'Calc'!$B$308</definedName>
    <definedName name="sa_show">'Calc'!$B$309</definedName>
    <definedName name="sa_nparts">'Calc'!$B$310</definedName>
    <definedName name="sa_price">'Calc'!$B$311</definedName>
    <definedName name="sa_capacity">'Calc'!$B$312</definedName>
    <definedName name="sa_total">'Calc'!$B$313</definedName>
    <definedName name="sa_total_minor">'Calc'!$B$314</definedName>
    <definedName name="sa_wraw_sum">'Calc'!$B$315</definedName>
    <definedName name="sa_wsum">'Calc'!$B$316</definedName>
    <definedName name="sa_leftover">'Calc'!$B$317</definedName>
    <definedName name="sa_price_text">'Calc'!$B$318</definedName>
    <definedName name="sa_tariff_used">'Calc'!$B$319</definedName>
    <definedName name="sa_heading">'Calc'!$B$320</definedName>
    <definedName name="sa_m_label">Calc!$AF$284:$AF$295</definedName>
    <definedName name="sa_m_days">Calc!$W$284:$W$295</definedName>
    <definedName name="sa_m_amount">Calc!$AG$284:$AG$295</definedName>
    <definedName name="sa_m_present">Calc!$T$284:$T$295</definedName>
    <definedName name="sb_id">'Calc'!$B$338</definedName>
    <definedName name="sb_has">'Calc'!$B$339</definedName>
    <definedName name="sb_ready">'Calc'!$B$340</definedName>
    <definedName name="sb_tso">'Calc'!$B$341</definedName>
    <definedName name="sb_tso_name">'Calc'!$B$342</definedName>
    <definedName name="sb_direction">'Calc'!$B$343</definedName>
    <definedName name="sb_name">'Calc'!$B$344</definedName>
    <definedName name="sb_currency">'Calc'!$B$345</definedName>
    <definedName name="sb_unit">'Calc'!$B$346</definedName>
    <definedName name="sb_captype">'Calc'!$B$347</definedName>
    <definedName name="sb_frow">'Calc'!$B$348</definedName>
    <definedName name="sb_count">'Calc'!$B$349</definedName>
    <definedName name="sb_rule">'Calc'!$B$350</definedName>
    <definedName name="sb_curdec">'Calc'!$B$351</definedName>
    <definedName name="sb_tdec">'Calc'!$B$352</definedName>
    <definedName name="sb_equal">'Calc'!$B$353</definedName>
    <definedName name="sb_uhours">'Calc'!$B$354</definedName>
    <definedName name="sb_col">'Calc'!$B$355</definedName>
    <definedName name="sb_colname">'Calc'!$B$356</definedName>
    <definedName name="sb_pdays">'Calc'!$B$357</definedName>
    <definedName name="sb_nmonths">'Calc'!$B$358</definedName>
    <definedName name="sb_covered">'Calc'!$B$359</definedName>
    <definedName name="sb_notariff">'Calc'!$B$360</definedName>
    <definedName name="sb_miss_start">'Calc'!$B$361</definedName>
    <definedName name="sb_firstmiss">'Calc'!$B$362</definedName>
    <definedName name="sb_missing_msg">'Calc'!$B$363</definedName>
    <definedName name="sb_show">'Calc'!$B$364</definedName>
    <definedName name="sb_nparts">'Calc'!$B$365</definedName>
    <definedName name="sb_price">'Calc'!$B$366</definedName>
    <definedName name="sb_capacity">'Calc'!$B$367</definedName>
    <definedName name="sb_total">'Calc'!$B$368</definedName>
    <definedName name="sb_total_minor">'Calc'!$B$369</definedName>
    <definedName name="sb_wraw_sum">'Calc'!$B$370</definedName>
    <definedName name="sb_wsum">'Calc'!$B$371</definedName>
    <definedName name="sb_leftover">'Calc'!$B$372</definedName>
    <definedName name="sb_price_text">'Calc'!$B$373</definedName>
    <definedName name="sb_tariff_used">'Calc'!$B$374</definedName>
    <definedName name="sb_heading">'Calc'!$B$375</definedName>
    <definedName name="sb_m_label">Calc!$AF$339:$AF$350</definedName>
    <definedName name="sb_m_days">Calc!$W$339:$W$350</definedName>
    <definedName name="sb_m_amount">Calc!$AG$339:$AG$350</definedName>
    <definedName name="sb_m_present">Calc!$T$339:$T$350</definedName>
    <definedName name="in_booking">Calculator!$B$4</definedName>
    <definedName name="in_tso">Calculator!$B$5</definedName>
    <definedName name="in_point">Calculator!$B$6</definedName>
    <definedName name="in_instrument">Calculator!$B$7</definedName>
    <definedName name="in_period">Calculator!$B$8</definedName>
    <definedName name="in_day">Calculator!$B$9</definedName>
    <definedName name="in_capacity">Calculator!$B$10</definedName>
    <definedName name="in_unit">Calculator!$C$10</definedName>
    <definedName name="msg_main">Calculator!$A$12</definedName>
    <definedName name="out_heading">Calculator!$A$13</definedName>
    <definedName name="out1_heading">Calculator!$A$15</definedName>
    <definedName name="out1_tso">Calculator!$B$16</definedName>
    <definedName name="out1_direction">Calculator!$D$16</definedName>
    <definedName name="out1_capacity">Calculator!$B$17</definedName>
    <definedName name="out1_price">Calculator!$B$18</definedName>
    <definedName name="out1_total">Calculator!$B$19</definedName>
    <definedName name="out1_tariff_used">Calculator!$B$20</definedName>
    <definedName name="out1_caption">Calculator!$A$21</definedName>
    <definedName name="out1_rounding">Calculator!$A$22</definedName>
    <definedName name="out1_interruptible">Calculator!$A$23</definedName>
    <definedName name="out1_equal">Calculator!$A$25</definedName>
    <definedName name="out1_months">Calculator!$A$27:$A$38</definedName>
    <definedName name="out1_days">Calculator!$B$27:$B$38</definedName>
    <definedName name="out1_amounts">Calculator!$C$27:$C$38</definedName>
    <definedName name="out1_invoice_total">Calculator!$C$39</definedName>
    <definedName name="out2_heading">Calculator!$A$41</definedName>
    <definedName name="out2_tso">Calculator!$B$42</definedName>
    <definedName name="out2_direction">Calculator!$D$42</definedName>
    <definedName name="out2_capacity">Calculator!$B$43</definedName>
    <definedName name="out2_price">Calculator!$B$44</definedName>
    <definedName name="out2_total">Calculator!$B$45</definedName>
    <definedName name="out2_tariff_used">Calculator!$B$46</definedName>
    <definedName name="out2_caption">Calculator!$A$47</definedName>
    <definedName name="out2_rounding">Calculator!$A$48</definedName>
    <definedName name="out2_interruptible">Calculator!$A$49</definedName>
    <definedName name="out2_equal">Calculator!$A$51</definedName>
    <definedName name="out2_months">Calculator!$A$53:$A$64</definedName>
    <definedName name="out2_days">Calculator!$B$53:$B$64</definedName>
    <definedName name="out2_amounts">Calculator!$C$53:$C$64</definedName>
    <definedName name="out2_invoice_total">Calculator!$C$65</definedName>
    <definedName name="in_rate_CZK">Calculator!$B$69</definedName>
    <definedName name="in_rate_HUF">Calculator!$B$70</definedName>
    <definedName name="in_rate_PLN">Calculator!$B$71</definedName>
    <definedName name="in_rate_RON">Calculator!$B$72</definedName>
    <definedName name="in_rates">Calculator!$B$69:$B$72</definedName>
    <definedName name="out_eur_total">Calculator!$B$73</definedName>
    <definedName name="out_eur_caption">Calculator!$A$74</definedName>
    <definedName name="out_eur_msg">Calculator!$A$75</definedName>
    <definedName name="_xlnm.Print_Area" localSheetId="0">'Calculator'!$A$1:$D$75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</font>
    <font>
      <b val="1"/>
      <sz val="16"/>
    </font>
    <font>
      <i val="1"/>
      <color rgb="00595959"/>
    </font>
    <font>
      <b val="1"/>
      <color rgb="00C55A11"/>
    </font>
    <font>
      <b val="1"/>
      <sz val="13"/>
    </font>
    <font>
      <b val="1"/>
      <sz val="12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0" fillId="2" borderId="0" applyProtection="1" pivotButton="0" quotePrefix="0" xfId="0">
      <protection locked="0" hidden="0"/>
    </xf>
    <xf numFmtId="49" fontId="0" fillId="2" borderId="0" applyProtection="1" pivotButton="0" quotePrefix="0" xfId="0">
      <protection locked="0" hidden="0"/>
    </xf>
    <xf numFmtId="164" fontId="0" fillId="2" borderId="0" applyProtection="1" pivotButton="0" quotePrefix="0" xfId="0">
      <protection locked="0" hidden="0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4" fontId="0" fillId="0" borderId="0" pivotButton="0" quotePrefix="0" xfId="0"/>
    <xf numFmtId="4" fontId="1" fillId="0" borderId="0" pivotButton="0" quotePrefix="0" xfId="0"/>
    <xf numFmtId="0" fontId="7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ont>
        <color rgb="00A6A6A6"/>
      </font>
      <fill>
        <patternFill patternType="solid">
          <bgColor rgb="00E7E6E6"/>
        </patternFill>
      </fill>
    </dxf>
    <dxf>
      <numFmt numFmtId="3" formatCode="#,##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6" customWidth="1" min="3" max="3"/>
    <col width="44" customWidth="1" min="4" max="4"/>
  </cols>
  <sheetData>
    <row r="1">
      <c r="A1" s="1" t="inlineStr">
        <is>
          <t>Capacity Fee Calculator</t>
        </is>
      </c>
    </row>
    <row r="2">
      <c r="A2" s="2" t="inlineStr">
        <is>
          <t>Built from tariffs_real.xlsx on 2026-10-30. Fill in the yellow cells.</t>
        </is>
      </c>
    </row>
    <row r="4">
      <c r="A4" s="3" t="inlineStr">
        <is>
          <t>Booking type</t>
        </is>
      </c>
      <c r="B4" s="4" t="inlineStr">
        <is>
          <t>Bundled</t>
        </is>
      </c>
    </row>
    <row r="5">
      <c r="A5" s="3" t="inlineStr">
        <is>
          <t>TSO</t>
        </is>
      </c>
      <c r="B5" s="4" t="inlineStr">
        <is>
          <t>FGSZ</t>
        </is>
      </c>
      <c r="D5" s="2">
        <f>IF(c_single,"","Only used for Single side")</f>
        <v/>
      </c>
    </row>
    <row r="6">
      <c r="A6" s="3">
        <f>IF(c_bundle,"Bundled point",IF(c_lng,"LNG terminal","Network point"))</f>
        <v/>
      </c>
      <c r="B6" s="4" t="inlineStr">
        <is>
          <t>Mosonmagyaróvár AT&gt;HU (Gas Connect Austria + FGSZ)</t>
        </is>
      </c>
    </row>
    <row r="7">
      <c r="A7" s="3" t="inlineStr">
        <is>
          <t>Product instrument</t>
        </is>
      </c>
      <c r="B7" s="4" t="inlineStr">
        <is>
          <t>Quarter</t>
        </is>
      </c>
    </row>
    <row r="8">
      <c r="A8" s="3" t="inlineStr">
        <is>
          <t>Period</t>
        </is>
      </c>
      <c r="B8" s="5" t="inlineStr">
        <is>
          <t>2026 Q4</t>
        </is>
      </c>
      <c r="D8" s="2">
        <f>IF(c_inst=4,"Not used for a day: enter the day below","")</f>
        <v/>
      </c>
    </row>
    <row r="9">
      <c r="A9" s="3" t="inlineStr">
        <is>
          <t>Day</t>
        </is>
      </c>
      <c r="B9" s="6" t="n">
        <v>46361</v>
      </c>
      <c r="D9" s="2">
        <f>IF(c_inst=4,"","Only used for the Day instrument")</f>
        <v/>
      </c>
    </row>
    <row r="10">
      <c r="A10" s="3" t="inlineStr">
        <is>
          <t>Requested capacity</t>
        </is>
      </c>
      <c r="B10" s="4" t="n"/>
      <c r="C10" s="4" t="inlineStr">
        <is>
          <t>kWh/h</t>
        </is>
      </c>
    </row>
    <row r="12">
      <c r="A12" s="7">
        <f>c_msg</f>
        <v/>
      </c>
    </row>
    <row r="13">
      <c r="A13" s="8">
        <f>c_heading</f>
        <v/>
      </c>
    </row>
    <row r="15">
      <c r="A15" s="9">
        <f>IF(sa_show,sa_heading,"")</f>
        <v/>
      </c>
    </row>
    <row r="16">
      <c r="A16" s="3">
        <f>IF(sa_show,"TSO","")</f>
        <v/>
      </c>
      <c r="B16">
        <f>IF(sa_show,sa_tso_name,"")</f>
        <v/>
      </c>
      <c r="C16" s="3">
        <f>IF(sa_show,"Direction","")</f>
        <v/>
      </c>
      <c r="D16">
        <f>IF(sa_show,sa_direction,"")</f>
        <v/>
      </c>
    </row>
    <row r="17">
      <c r="A17" s="3">
        <f>IF(sa_show,"Capacity ("&amp;sa_unit&amp;")","")</f>
        <v/>
      </c>
      <c r="B17" s="10">
        <f>IF(sa_show,sa_capacity,"")</f>
        <v/>
      </c>
    </row>
    <row r="18">
      <c r="A18" s="3">
        <f>IF(sa_show,"Price ("&amp;sa_colname&amp;", "&amp;sa_currency&amp;" per "&amp;sa_unit&amp;")","")</f>
        <v/>
      </c>
      <c r="B18">
        <f>IF(sa_show,sa_price_text,"")</f>
        <v/>
      </c>
    </row>
    <row r="19">
      <c r="A19" s="3">
        <f>IF(sa_show,"Total cost ("&amp;sa_currency&amp;")","")</f>
        <v/>
      </c>
      <c r="B19" s="11">
        <f>IF(sa_show,sa_total,"")</f>
        <v/>
      </c>
    </row>
    <row r="20">
      <c r="A20" s="3">
        <f>IF(sa_show,"Tariff used","")</f>
        <v/>
      </c>
      <c r="B20">
        <f>IF(sa_show,sa_tariff_used,"")</f>
        <v/>
      </c>
    </row>
    <row r="21">
      <c r="A21" s="2">
        <f>IF(sa_show,"All amounts are in "&amp;sa_currency&amp;"; the total is rounded to "&amp;IF(sa_curdec=0,"whole forints","cents")&amp;".","")</f>
        <v/>
      </c>
    </row>
    <row r="22">
      <c r="A22" s="2">
        <f>IF(AND(sa_show,sa_tdec&lt;&gt;""),sa_tso_name&amp;" bills its tariff rounded to "&amp;sa_tdec&amp;" decimals.","")</f>
        <v/>
      </c>
    </row>
    <row r="23">
      <c r="A23" s="12">
        <f>IF(AND(sa_show,sa_captype="Interruptible"),"This point has no Firm tariff, so Interruptible capacity is priced; the TSO can interrupt it.","")</f>
        <v/>
      </c>
    </row>
    <row r="24">
      <c r="A24" s="3">
        <f>IF(sa_show,IF(c_bundle,"Monthly invoice ("&amp;sa_tso_name&amp;")","Monthly invoice"),"")</f>
        <v/>
      </c>
    </row>
    <row r="25">
      <c r="A25" s="2">
        <f>IF(AND(sa_show,sa_equal),sa_tso_name&amp;" invoices each month as "&amp;IF(c_inst=1,"1/12 of the gas year","1/3 of the quarter")&amp;" at the tariff valid in it, whatever the month's number of days.","")</f>
        <v/>
      </c>
    </row>
    <row r="26">
      <c r="A26" s="3">
        <f>IF(sa_show,"Month","")</f>
        <v/>
      </c>
      <c r="B26" s="3">
        <f>IF(sa_show,"Days","")</f>
        <v/>
      </c>
      <c r="C26" s="3">
        <f>IF(sa_show,"Amount ("&amp;sa_currency&amp;")","")</f>
        <v/>
      </c>
    </row>
    <row r="27">
      <c r="A27">
        <f>IF(AND(sa_show,INDEX(sa_m_present,1)=1),INDEX(sa_m_label,1),"")</f>
        <v/>
      </c>
      <c r="B27">
        <f>IF(AND(sa_show,INDEX(sa_m_present,1)=1),INDEX(sa_m_days,1),"")</f>
        <v/>
      </c>
      <c r="C27" s="10">
        <f>IF(AND(sa_show,INDEX(sa_m_present,1)=1),INDEX(sa_m_amount,1),"")</f>
        <v/>
      </c>
    </row>
    <row r="28">
      <c r="A28">
        <f>IF(AND(sa_show,INDEX(sa_m_present,2)=1),INDEX(sa_m_label,2),"")</f>
        <v/>
      </c>
      <c r="B28">
        <f>IF(AND(sa_show,INDEX(sa_m_present,2)=1),INDEX(sa_m_days,2),"")</f>
        <v/>
      </c>
      <c r="C28" s="10">
        <f>IF(AND(sa_show,INDEX(sa_m_present,2)=1),INDEX(sa_m_amount,2),"")</f>
        <v/>
      </c>
    </row>
    <row r="29">
      <c r="A29">
        <f>IF(AND(sa_show,INDEX(sa_m_present,3)=1),INDEX(sa_m_label,3),"")</f>
        <v/>
      </c>
      <c r="B29">
        <f>IF(AND(sa_show,INDEX(sa_m_present,3)=1),INDEX(sa_m_days,3),"")</f>
        <v/>
      </c>
      <c r="C29" s="10">
        <f>IF(AND(sa_show,INDEX(sa_m_present,3)=1),INDEX(sa_m_amount,3),"")</f>
        <v/>
      </c>
    </row>
    <row r="30">
      <c r="A30">
        <f>IF(AND(sa_show,INDEX(sa_m_present,4)=1),INDEX(sa_m_label,4),"")</f>
        <v/>
      </c>
      <c r="B30">
        <f>IF(AND(sa_show,INDEX(sa_m_present,4)=1),INDEX(sa_m_days,4),"")</f>
        <v/>
      </c>
      <c r="C30" s="10">
        <f>IF(AND(sa_show,INDEX(sa_m_present,4)=1),INDEX(sa_m_amount,4),"")</f>
        <v/>
      </c>
    </row>
    <row r="31">
      <c r="A31">
        <f>IF(AND(sa_show,INDEX(sa_m_present,5)=1),INDEX(sa_m_label,5),"")</f>
        <v/>
      </c>
      <c r="B31">
        <f>IF(AND(sa_show,INDEX(sa_m_present,5)=1),INDEX(sa_m_days,5),"")</f>
        <v/>
      </c>
      <c r="C31" s="10">
        <f>IF(AND(sa_show,INDEX(sa_m_present,5)=1),INDEX(sa_m_amount,5),"")</f>
        <v/>
      </c>
    </row>
    <row r="32">
      <c r="A32">
        <f>IF(AND(sa_show,INDEX(sa_m_present,6)=1),INDEX(sa_m_label,6),"")</f>
        <v/>
      </c>
      <c r="B32">
        <f>IF(AND(sa_show,INDEX(sa_m_present,6)=1),INDEX(sa_m_days,6),"")</f>
        <v/>
      </c>
      <c r="C32" s="10">
        <f>IF(AND(sa_show,INDEX(sa_m_present,6)=1),INDEX(sa_m_amount,6),"")</f>
        <v/>
      </c>
    </row>
    <row r="33">
      <c r="A33">
        <f>IF(AND(sa_show,INDEX(sa_m_present,7)=1),INDEX(sa_m_label,7),"")</f>
        <v/>
      </c>
      <c r="B33">
        <f>IF(AND(sa_show,INDEX(sa_m_present,7)=1),INDEX(sa_m_days,7),"")</f>
        <v/>
      </c>
      <c r="C33" s="10">
        <f>IF(AND(sa_show,INDEX(sa_m_present,7)=1),INDEX(sa_m_amount,7),"")</f>
        <v/>
      </c>
    </row>
    <row r="34">
      <c r="A34">
        <f>IF(AND(sa_show,INDEX(sa_m_present,8)=1),INDEX(sa_m_label,8),"")</f>
        <v/>
      </c>
      <c r="B34">
        <f>IF(AND(sa_show,INDEX(sa_m_present,8)=1),INDEX(sa_m_days,8),"")</f>
        <v/>
      </c>
      <c r="C34" s="10">
        <f>IF(AND(sa_show,INDEX(sa_m_present,8)=1),INDEX(sa_m_amount,8),"")</f>
        <v/>
      </c>
    </row>
    <row r="35">
      <c r="A35">
        <f>IF(AND(sa_show,INDEX(sa_m_present,9)=1),INDEX(sa_m_label,9),"")</f>
        <v/>
      </c>
      <c r="B35">
        <f>IF(AND(sa_show,INDEX(sa_m_present,9)=1),INDEX(sa_m_days,9),"")</f>
        <v/>
      </c>
      <c r="C35" s="10">
        <f>IF(AND(sa_show,INDEX(sa_m_present,9)=1),INDEX(sa_m_amount,9),"")</f>
        <v/>
      </c>
    </row>
    <row r="36">
      <c r="A36">
        <f>IF(AND(sa_show,INDEX(sa_m_present,10)=1),INDEX(sa_m_label,10),"")</f>
        <v/>
      </c>
      <c r="B36">
        <f>IF(AND(sa_show,INDEX(sa_m_present,10)=1),INDEX(sa_m_days,10),"")</f>
        <v/>
      </c>
      <c r="C36" s="10">
        <f>IF(AND(sa_show,INDEX(sa_m_present,10)=1),INDEX(sa_m_amount,10),"")</f>
        <v/>
      </c>
    </row>
    <row r="37">
      <c r="A37">
        <f>IF(AND(sa_show,INDEX(sa_m_present,11)=1),INDEX(sa_m_label,11),"")</f>
        <v/>
      </c>
      <c r="B37">
        <f>IF(AND(sa_show,INDEX(sa_m_present,11)=1),INDEX(sa_m_days,11),"")</f>
        <v/>
      </c>
      <c r="C37" s="10">
        <f>IF(AND(sa_show,INDEX(sa_m_present,11)=1),INDEX(sa_m_amount,11),"")</f>
        <v/>
      </c>
    </row>
    <row r="38">
      <c r="A38">
        <f>IF(AND(sa_show,INDEX(sa_m_present,12)=1),INDEX(sa_m_label,12),"")</f>
        <v/>
      </c>
      <c r="B38">
        <f>IF(AND(sa_show,INDEX(sa_m_present,12)=1),INDEX(sa_m_days,12),"")</f>
        <v/>
      </c>
      <c r="C38" s="10">
        <f>IF(AND(sa_show,INDEX(sa_m_present,12)=1),INDEX(sa_m_amount,12),"")</f>
        <v/>
      </c>
    </row>
    <row r="39">
      <c r="A39" s="3">
        <f>IF(sa_show,"Total","")</f>
        <v/>
      </c>
      <c r="B39">
        <f>IF(sa_show,sa_pdays,"")</f>
        <v/>
      </c>
      <c r="C39" s="11">
        <f>IF(sa_show,sa_total,"")</f>
        <v/>
      </c>
    </row>
    <row r="41">
      <c r="A41" s="9">
        <f>IF(sb_show,sb_heading,"")</f>
        <v/>
      </c>
    </row>
    <row r="42">
      <c r="A42" s="3">
        <f>IF(sb_show,"TSO","")</f>
        <v/>
      </c>
      <c r="B42">
        <f>IF(sb_show,sb_tso_name,"")</f>
        <v/>
      </c>
      <c r="C42" s="3">
        <f>IF(sb_show,"Direction","")</f>
        <v/>
      </c>
      <c r="D42">
        <f>IF(sb_show,sb_direction,"")</f>
        <v/>
      </c>
    </row>
    <row r="43">
      <c r="A43" s="3">
        <f>IF(sb_show,"Capacity ("&amp;sb_unit&amp;")","")</f>
        <v/>
      </c>
      <c r="B43" s="10">
        <f>IF(sb_show,sb_capacity,"")</f>
        <v/>
      </c>
    </row>
    <row r="44">
      <c r="A44" s="3">
        <f>IF(sb_show,"Price ("&amp;sb_colname&amp;", "&amp;sb_currency&amp;" per "&amp;sb_unit&amp;")","")</f>
        <v/>
      </c>
      <c r="B44">
        <f>IF(sb_show,sb_price_text,"")</f>
        <v/>
      </c>
    </row>
    <row r="45">
      <c r="A45" s="3">
        <f>IF(sb_show,"Total cost ("&amp;sb_currency&amp;")","")</f>
        <v/>
      </c>
      <c r="B45" s="11">
        <f>IF(sb_show,sb_total,"")</f>
        <v/>
      </c>
    </row>
    <row r="46">
      <c r="A46" s="3">
        <f>IF(sb_show,"Tariff used","")</f>
        <v/>
      </c>
      <c r="B46">
        <f>IF(sb_show,sb_tariff_used,"")</f>
        <v/>
      </c>
    </row>
    <row r="47">
      <c r="A47" s="2">
        <f>IF(sb_show,"All amounts are in "&amp;sb_currency&amp;"; the total is rounded to "&amp;IF(sb_curdec=0,"whole forints","cents")&amp;".","")</f>
        <v/>
      </c>
    </row>
    <row r="48">
      <c r="A48" s="2">
        <f>IF(AND(sb_show,sb_tdec&lt;&gt;""),sb_tso_name&amp;" bills its tariff rounded to "&amp;sb_tdec&amp;" decimals.","")</f>
        <v/>
      </c>
    </row>
    <row r="49">
      <c r="A49" s="12">
        <f>IF(AND(sb_show,sb_captype="Interruptible"),"This point has no Firm tariff, so Interruptible capacity is priced; the TSO can interrupt it.","")</f>
        <v/>
      </c>
    </row>
    <row r="50">
      <c r="A50" s="3">
        <f>IF(sb_show,"Monthly invoice ("&amp;sb_tso_name&amp;")","")</f>
        <v/>
      </c>
    </row>
    <row r="51">
      <c r="A51" s="2">
        <f>IF(AND(sb_show,sb_equal),sb_tso_name&amp;" invoices each month as "&amp;IF(c_inst=1,"1/12 of the gas year","1/3 of the quarter")&amp;" at the tariff valid in it, whatever the month's number of days.","")</f>
        <v/>
      </c>
    </row>
    <row r="52">
      <c r="A52" s="3">
        <f>IF(sb_show,"Month","")</f>
        <v/>
      </c>
      <c r="B52" s="3">
        <f>IF(sb_show,"Days","")</f>
        <v/>
      </c>
      <c r="C52" s="3">
        <f>IF(sb_show,"Amount ("&amp;sb_currency&amp;")","")</f>
        <v/>
      </c>
    </row>
    <row r="53">
      <c r="A53">
        <f>IF(AND(sb_show,INDEX(sb_m_present,1)=1),INDEX(sb_m_label,1),"")</f>
        <v/>
      </c>
      <c r="B53">
        <f>IF(AND(sb_show,INDEX(sb_m_present,1)=1),INDEX(sb_m_days,1),"")</f>
        <v/>
      </c>
      <c r="C53" s="10">
        <f>IF(AND(sb_show,INDEX(sb_m_present,1)=1),INDEX(sb_m_amount,1),"")</f>
        <v/>
      </c>
    </row>
    <row r="54">
      <c r="A54">
        <f>IF(AND(sb_show,INDEX(sb_m_present,2)=1),INDEX(sb_m_label,2),"")</f>
        <v/>
      </c>
      <c r="B54">
        <f>IF(AND(sb_show,INDEX(sb_m_present,2)=1),INDEX(sb_m_days,2),"")</f>
        <v/>
      </c>
      <c r="C54" s="10">
        <f>IF(AND(sb_show,INDEX(sb_m_present,2)=1),INDEX(sb_m_amount,2),"")</f>
        <v/>
      </c>
    </row>
    <row r="55">
      <c r="A55">
        <f>IF(AND(sb_show,INDEX(sb_m_present,3)=1),INDEX(sb_m_label,3),"")</f>
        <v/>
      </c>
      <c r="B55">
        <f>IF(AND(sb_show,INDEX(sb_m_present,3)=1),INDEX(sb_m_days,3),"")</f>
        <v/>
      </c>
      <c r="C55" s="10">
        <f>IF(AND(sb_show,INDEX(sb_m_present,3)=1),INDEX(sb_m_amount,3),"")</f>
        <v/>
      </c>
    </row>
    <row r="56">
      <c r="A56">
        <f>IF(AND(sb_show,INDEX(sb_m_present,4)=1),INDEX(sb_m_label,4),"")</f>
        <v/>
      </c>
      <c r="B56">
        <f>IF(AND(sb_show,INDEX(sb_m_present,4)=1),INDEX(sb_m_days,4),"")</f>
        <v/>
      </c>
      <c r="C56" s="10">
        <f>IF(AND(sb_show,INDEX(sb_m_present,4)=1),INDEX(sb_m_amount,4),"")</f>
        <v/>
      </c>
    </row>
    <row r="57">
      <c r="A57">
        <f>IF(AND(sb_show,INDEX(sb_m_present,5)=1),INDEX(sb_m_label,5),"")</f>
        <v/>
      </c>
      <c r="B57">
        <f>IF(AND(sb_show,INDEX(sb_m_present,5)=1),INDEX(sb_m_days,5),"")</f>
        <v/>
      </c>
      <c r="C57" s="10">
        <f>IF(AND(sb_show,INDEX(sb_m_present,5)=1),INDEX(sb_m_amount,5),"")</f>
        <v/>
      </c>
    </row>
    <row r="58">
      <c r="A58">
        <f>IF(AND(sb_show,INDEX(sb_m_present,6)=1),INDEX(sb_m_label,6),"")</f>
        <v/>
      </c>
      <c r="B58">
        <f>IF(AND(sb_show,INDEX(sb_m_present,6)=1),INDEX(sb_m_days,6),"")</f>
        <v/>
      </c>
      <c r="C58" s="10">
        <f>IF(AND(sb_show,INDEX(sb_m_present,6)=1),INDEX(sb_m_amount,6),"")</f>
        <v/>
      </c>
    </row>
    <row r="59">
      <c r="A59">
        <f>IF(AND(sb_show,INDEX(sb_m_present,7)=1),INDEX(sb_m_label,7),"")</f>
        <v/>
      </c>
      <c r="B59">
        <f>IF(AND(sb_show,INDEX(sb_m_present,7)=1),INDEX(sb_m_days,7),"")</f>
        <v/>
      </c>
      <c r="C59" s="10">
        <f>IF(AND(sb_show,INDEX(sb_m_present,7)=1),INDEX(sb_m_amount,7),"")</f>
        <v/>
      </c>
    </row>
    <row r="60">
      <c r="A60">
        <f>IF(AND(sb_show,INDEX(sb_m_present,8)=1),INDEX(sb_m_label,8),"")</f>
        <v/>
      </c>
      <c r="B60">
        <f>IF(AND(sb_show,INDEX(sb_m_present,8)=1),INDEX(sb_m_days,8),"")</f>
        <v/>
      </c>
      <c r="C60" s="10">
        <f>IF(AND(sb_show,INDEX(sb_m_present,8)=1),INDEX(sb_m_amount,8),"")</f>
        <v/>
      </c>
    </row>
    <row r="61">
      <c r="A61">
        <f>IF(AND(sb_show,INDEX(sb_m_present,9)=1),INDEX(sb_m_label,9),"")</f>
        <v/>
      </c>
      <c r="B61">
        <f>IF(AND(sb_show,INDEX(sb_m_present,9)=1),INDEX(sb_m_days,9),"")</f>
        <v/>
      </c>
      <c r="C61" s="10">
        <f>IF(AND(sb_show,INDEX(sb_m_present,9)=1),INDEX(sb_m_amount,9),"")</f>
        <v/>
      </c>
    </row>
    <row r="62">
      <c r="A62">
        <f>IF(AND(sb_show,INDEX(sb_m_present,10)=1),INDEX(sb_m_label,10),"")</f>
        <v/>
      </c>
      <c r="B62">
        <f>IF(AND(sb_show,INDEX(sb_m_present,10)=1),INDEX(sb_m_days,10),"")</f>
        <v/>
      </c>
      <c r="C62" s="10">
        <f>IF(AND(sb_show,INDEX(sb_m_present,10)=1),INDEX(sb_m_amount,10),"")</f>
        <v/>
      </c>
    </row>
    <row r="63">
      <c r="A63">
        <f>IF(AND(sb_show,INDEX(sb_m_present,11)=1),INDEX(sb_m_label,11),"")</f>
        <v/>
      </c>
      <c r="B63">
        <f>IF(AND(sb_show,INDEX(sb_m_present,11)=1),INDEX(sb_m_days,11),"")</f>
        <v/>
      </c>
      <c r="C63" s="10">
        <f>IF(AND(sb_show,INDEX(sb_m_present,11)=1),INDEX(sb_m_amount,11),"")</f>
        <v/>
      </c>
    </row>
    <row r="64">
      <c r="A64">
        <f>IF(AND(sb_show,INDEX(sb_m_present,12)=1),INDEX(sb_m_label,12),"")</f>
        <v/>
      </c>
      <c r="B64">
        <f>IF(AND(sb_show,INDEX(sb_m_present,12)=1),INDEX(sb_m_days,12),"")</f>
        <v/>
      </c>
      <c r="C64" s="10">
        <f>IF(AND(sb_show,INDEX(sb_m_present,12)=1),INDEX(sb_m_amount,12),"")</f>
        <v/>
      </c>
    </row>
    <row r="65">
      <c r="A65" s="3">
        <f>IF(sb_show,"Total","")</f>
        <v/>
      </c>
      <c r="B65">
        <f>IF(sb_show,sb_pdays,"")</f>
        <v/>
      </c>
      <c r="C65" s="11">
        <f>IF(sb_show,sb_total,"")</f>
        <v/>
      </c>
    </row>
    <row r="67">
      <c r="A67" s="9">
        <f>IF(c_bundle,"Bundle total in EUR","")</f>
        <v/>
      </c>
    </row>
    <row r="68">
      <c r="A68" s="2">
        <f>IF(c_bundle,"Exchange rates: only the ones this bundle needs are used.","")</f>
        <v/>
      </c>
    </row>
    <row r="69">
      <c r="A69" s="3" t="inlineStr">
        <is>
          <t>CZK per 1 EUR</t>
        </is>
      </c>
      <c r="B69" s="4" t="n"/>
      <c r="D69" s="2">
        <f>IF(c_need_CZK,"","Not used for this booking")</f>
        <v/>
      </c>
    </row>
    <row r="70">
      <c r="A70" s="3" t="inlineStr">
        <is>
          <t>HUF per 1 EUR</t>
        </is>
      </c>
      <c r="B70" s="4" t="n"/>
      <c r="D70" s="2">
        <f>IF(c_need_HUF,"","Not used for this booking")</f>
        <v/>
      </c>
    </row>
    <row r="71">
      <c r="A71" s="3" t="inlineStr">
        <is>
          <t>PLN per 1 EUR</t>
        </is>
      </c>
      <c r="B71" s="4" t="n"/>
      <c r="D71" s="2">
        <f>IF(c_need_PLN,"","Not used for this booking")</f>
        <v/>
      </c>
    </row>
    <row r="72">
      <c r="A72" s="3" t="inlineStr">
        <is>
          <t>RON per 1 EUR</t>
        </is>
      </c>
      <c r="B72" s="4" t="n"/>
      <c r="D72" s="2">
        <f>IF(c_need_RON,"","Not used for this booking")</f>
        <v/>
      </c>
    </row>
    <row r="73">
      <c r="A73" s="3">
        <f>IF(c_eur_ready,"Bundle total (EUR)","")</f>
        <v/>
      </c>
      <c r="B73" s="11">
        <f>c_eur_total</f>
        <v/>
      </c>
    </row>
    <row r="74">
      <c r="A74" s="2">
        <f>c_eur_caption</f>
        <v/>
      </c>
    </row>
    <row r="75">
      <c r="A75" s="7">
        <f>c_eur_msg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B5">
    <cfRule type="expression" priority="1" dxfId="0">
      <formula>NOT(c_single)</formula>
    </cfRule>
  </conditionalFormatting>
  <conditionalFormatting sqref="B8">
    <cfRule type="expression" priority="2" dxfId="0">
      <formula>c_inst=4</formula>
    </cfRule>
  </conditionalFormatting>
  <conditionalFormatting sqref="B9">
    <cfRule type="expression" priority="3" dxfId="0">
      <formula>c_inst&lt;&gt;4</formula>
    </cfRule>
  </conditionalFormatting>
  <conditionalFormatting sqref="B19">
    <cfRule type="expression" priority="4" dxfId="1">
      <formula>sa_currency="HUF"</formula>
    </cfRule>
  </conditionalFormatting>
  <conditionalFormatting sqref="C27">
    <cfRule type="expression" priority="5" dxfId="1">
      <formula>sa_currency="HUF"</formula>
    </cfRule>
  </conditionalFormatting>
  <conditionalFormatting sqref="C28">
    <cfRule type="expression" priority="6" dxfId="1">
      <formula>sa_currency="HUF"</formula>
    </cfRule>
  </conditionalFormatting>
  <conditionalFormatting sqref="C29">
    <cfRule type="expression" priority="7" dxfId="1">
      <formula>sa_currency="HUF"</formula>
    </cfRule>
  </conditionalFormatting>
  <conditionalFormatting sqref="C30">
    <cfRule type="expression" priority="8" dxfId="1">
      <formula>sa_currency="HUF"</formula>
    </cfRule>
  </conditionalFormatting>
  <conditionalFormatting sqref="C31">
    <cfRule type="expression" priority="9" dxfId="1">
      <formula>sa_currency="HUF"</formula>
    </cfRule>
  </conditionalFormatting>
  <conditionalFormatting sqref="C32">
    <cfRule type="expression" priority="10" dxfId="1">
      <formula>sa_currency="HUF"</formula>
    </cfRule>
  </conditionalFormatting>
  <conditionalFormatting sqref="C33">
    <cfRule type="expression" priority="11" dxfId="1">
      <formula>sa_currency="HUF"</formula>
    </cfRule>
  </conditionalFormatting>
  <conditionalFormatting sqref="C34">
    <cfRule type="expression" priority="12" dxfId="1">
      <formula>sa_currency="HUF"</formula>
    </cfRule>
  </conditionalFormatting>
  <conditionalFormatting sqref="C35">
    <cfRule type="expression" priority="13" dxfId="1">
      <formula>sa_currency="HUF"</formula>
    </cfRule>
  </conditionalFormatting>
  <conditionalFormatting sqref="C36">
    <cfRule type="expression" priority="14" dxfId="1">
      <formula>sa_currency="HUF"</formula>
    </cfRule>
  </conditionalFormatting>
  <conditionalFormatting sqref="C37">
    <cfRule type="expression" priority="15" dxfId="1">
      <formula>sa_currency="HUF"</formula>
    </cfRule>
  </conditionalFormatting>
  <conditionalFormatting sqref="C38">
    <cfRule type="expression" priority="16" dxfId="1">
      <formula>sa_currency="HUF"</formula>
    </cfRule>
  </conditionalFormatting>
  <conditionalFormatting sqref="C39">
    <cfRule type="expression" priority="17" dxfId="1">
      <formula>sa_currency="HUF"</formula>
    </cfRule>
  </conditionalFormatting>
  <conditionalFormatting sqref="B45">
    <cfRule type="expression" priority="18" dxfId="1">
      <formula>sb_currency="HUF"</formula>
    </cfRule>
  </conditionalFormatting>
  <conditionalFormatting sqref="C53">
    <cfRule type="expression" priority="19" dxfId="1">
      <formula>sb_currency="HUF"</formula>
    </cfRule>
  </conditionalFormatting>
  <conditionalFormatting sqref="C54">
    <cfRule type="expression" priority="20" dxfId="1">
      <formula>sb_currency="HUF"</formula>
    </cfRule>
  </conditionalFormatting>
  <conditionalFormatting sqref="C55">
    <cfRule type="expression" priority="21" dxfId="1">
      <formula>sb_currency="HUF"</formula>
    </cfRule>
  </conditionalFormatting>
  <conditionalFormatting sqref="C56">
    <cfRule type="expression" priority="22" dxfId="1">
      <formula>sb_currency="HUF"</formula>
    </cfRule>
  </conditionalFormatting>
  <conditionalFormatting sqref="C57">
    <cfRule type="expression" priority="23" dxfId="1">
      <formula>sb_currency="HUF"</formula>
    </cfRule>
  </conditionalFormatting>
  <conditionalFormatting sqref="C58">
    <cfRule type="expression" priority="24" dxfId="1">
      <formula>sb_currency="HUF"</formula>
    </cfRule>
  </conditionalFormatting>
  <conditionalFormatting sqref="C59">
    <cfRule type="expression" priority="25" dxfId="1">
      <formula>sb_currency="HUF"</formula>
    </cfRule>
  </conditionalFormatting>
  <conditionalFormatting sqref="C60">
    <cfRule type="expression" priority="26" dxfId="1">
      <formula>sb_currency="HUF"</formula>
    </cfRule>
  </conditionalFormatting>
  <conditionalFormatting sqref="C61">
    <cfRule type="expression" priority="27" dxfId="1">
      <formula>sb_currency="HUF"</formula>
    </cfRule>
  </conditionalFormatting>
  <conditionalFormatting sqref="C62">
    <cfRule type="expression" priority="28" dxfId="1">
      <formula>sb_currency="HUF"</formula>
    </cfRule>
  </conditionalFormatting>
  <conditionalFormatting sqref="C63">
    <cfRule type="expression" priority="29" dxfId="1">
      <formula>sb_currency="HUF"</formula>
    </cfRule>
  </conditionalFormatting>
  <conditionalFormatting sqref="C64">
    <cfRule type="expression" priority="30" dxfId="1">
      <formula>sb_currency="HUF"</formula>
    </cfRule>
  </conditionalFormatting>
  <conditionalFormatting sqref="C65">
    <cfRule type="expression" priority="31" dxfId="1">
      <formula>sb_currency="HUF"</formula>
    </cfRule>
  </conditionalFormatting>
  <conditionalFormatting sqref="B69">
    <cfRule type="expression" priority="32" dxfId="0">
      <formula>NOT(c_need_CZK)</formula>
    </cfRule>
  </conditionalFormatting>
  <conditionalFormatting sqref="B70">
    <cfRule type="expression" priority="33" dxfId="0">
      <formula>NOT(c_need_HUF)</formula>
    </cfRule>
  </conditionalFormatting>
  <conditionalFormatting sqref="B71">
    <cfRule type="expression" priority="34" dxfId="0">
      <formula>NOT(c_need_PLN)</formula>
    </cfRule>
  </conditionalFormatting>
  <conditionalFormatting sqref="B72">
    <cfRule type="expression" priority="35" dxfId="0">
      <formula>NOT(c_need_RON)</formula>
    </cfRule>
  </conditionalFormatting>
  <dataValidations count="7">
    <dataValidation sqref="B4" showDropDown="0" showInputMessage="0" showErrorMessage="1" allowBlank="1" errorTitle="Not in the list" error="Choose a value from the dropdown list." type="list">
      <formula1>lst_booking</formula1>
    </dataValidation>
    <dataValidation sqref="B5" showDropDown="0" showInputMessage="0" showErrorMessage="1" allowBlank="1" errorTitle="Not in the list" error="Choose a value from the dropdown list." type="list">
      <formula1>lst_tso_name</formula1>
    </dataValidation>
    <dataValidation sqref="B6" showDropDown="0" showInputMessage="0" showErrorMessage="1" allowBlank="1" errorTitle="Not in the list" error="Choose a value from the dropdown list." type="list">
      <formula1>dv_points</formula1>
    </dataValidation>
    <dataValidation sqref="B7" showDropDown="0" showInputMessage="0" showErrorMessage="1" allowBlank="1" errorTitle="Not in the list" error="Choose a value from the dropdown list." type="list">
      <formula1>lst_instrument</formula1>
    </dataValidation>
    <dataValidation sqref="B8" showDropDown="0" showInputMessage="0" showErrorMessage="1" allowBlank="1" errorTitle="Not in the list" error="Choose a value from the dropdown list." type="list">
      <formula1>dv_periods</formula1>
    </dataValidation>
    <dataValidation sqref="B9" showDropDown="0" showInputMessage="0" showErrorMessage="1" allowBlank="1" errorTitle="Not a date" error="Enter a date between 2000-01-01 and 2100-12-31." type="date" operator="between">
      <formula1>36526</formula1>
      <formula2>73415</formula2>
    </dataValidation>
    <dataValidation sqref="C10" showDropDown="0" showInputMessage="0" showErrorMessage="1" allowBlank="1" errorTitle="Not in the list" error="Choose a value from the dropdown list." type="list">
      <formula1>lst_unit</formula1>
    </dataValidation>
  </dataValidation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37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Value</t>
        </is>
      </c>
      <c r="D1" s="3" t="inlineStr">
        <is>
          <t>Period list</t>
        </is>
      </c>
    </row>
    <row r="2">
      <c r="A2" t="inlineStr">
        <is>
          <t>c_booking_ok</t>
        </is>
      </c>
      <c r="B2">
        <f>ISNUMBER(MATCH(in_booking,lst_booking,0))</f>
        <v/>
      </c>
      <c r="D2">
        <f>IF(1&gt;c_period_count,"",IF(c_inst=1,(c_first_gy+0)&amp;"/"&amp;RIGHT(c_first_gy+1,2),IF(c_inst=2,(c_first_gy+INT(0/4))&amp;" Q"&amp;(MOD(0,4)+1),(c_first_gy+INT(0/12))&amp;"-"&amp;RIGHT("0"&amp;(MOD(0,12)+1),2))))</f>
        <v/>
      </c>
    </row>
    <row r="3">
      <c r="A3" t="inlineStr">
        <is>
          <t>c_bundle</t>
        </is>
      </c>
      <c r="B3">
        <f>in_booking="Bundled"</f>
        <v/>
      </c>
      <c r="D3">
        <f>IF(2&gt;c_period_count,"",IF(c_inst=1,(c_first_gy+1)&amp;"/"&amp;RIGHT(c_first_gy+2,2),IF(c_inst=2,(c_first_gy+INT(1/4))&amp;" Q"&amp;(MOD(1,4)+1),(c_first_gy+INT(1/12))&amp;"-"&amp;RIGHT("0"&amp;(MOD(1,12)+1),2))))</f>
        <v/>
      </c>
    </row>
    <row r="4">
      <c r="A4" t="inlineStr">
        <is>
          <t>c_single</t>
        </is>
      </c>
      <c r="B4">
        <f>in_booking="Single side"</f>
        <v/>
      </c>
      <c r="D4">
        <f>IF(3&gt;c_period_count,"",IF(c_inst=1,(c_first_gy+2)&amp;"/"&amp;RIGHT(c_first_gy+3,2),IF(c_inst=2,(c_first_gy+INT(2/4))&amp;" Q"&amp;(MOD(2,4)+1),(c_first_gy+INT(2/12))&amp;"-"&amp;RIGHT("0"&amp;(MOD(2,12)+1),2))))</f>
        <v/>
      </c>
    </row>
    <row r="5">
      <c r="A5" t="inlineStr">
        <is>
          <t>c_lng</t>
        </is>
      </c>
      <c r="B5">
        <f>in_booking="LNG entry"</f>
        <v/>
      </c>
      <c r="D5">
        <f>IF(4&gt;c_period_count,"",IF(c_inst=1,(c_first_gy+3)&amp;"/"&amp;RIGHT(c_first_gy+4,2),IF(c_inst=2,(c_first_gy+INT(3/4))&amp;" Q"&amp;(MOD(3,4)+1),(c_first_gy+INT(3/12))&amp;"-"&amp;RIGHT("0"&amp;(MOD(3,12)+1),2))))</f>
        <v/>
      </c>
    </row>
    <row r="6">
      <c r="A6" t="inlineStr">
        <is>
          <t>c_tso_row</t>
        </is>
      </c>
      <c r="B6">
        <f>IFERROR(MATCH(in_tso,lst_tso_name,0),0)</f>
        <v/>
      </c>
      <c r="D6">
        <f>IF(5&gt;c_period_count,"",IF(c_inst=1,(c_first_gy+4)&amp;"/"&amp;RIGHT(c_first_gy+5,2),IF(c_inst=2,(c_first_gy+INT(4/4))&amp;" Q"&amp;(MOD(4,4)+1),(c_first_gy+INT(4/12))&amp;"-"&amp;RIGHT("0"&amp;(MOD(4,12)+1),2))))</f>
        <v/>
      </c>
    </row>
    <row r="7">
      <c r="A7" t="inlineStr">
        <is>
          <t>c_tso_ok</t>
        </is>
      </c>
      <c r="B7">
        <f>OR(NOT(c_single),c_tso_row&gt;0)</f>
        <v/>
      </c>
      <c r="D7">
        <f>IF(6&gt;c_period_count,"",IF(c_inst=1,(c_first_gy+5)&amp;"/"&amp;RIGHT(c_first_gy+6,2),IF(c_inst=2,(c_first_gy+INT(5/4))&amp;" Q"&amp;(MOD(5,4)+1),(c_first_gy+INT(5/12))&amp;"-"&amp;RIGHT("0"&amp;(MOD(5,12)+1),2))))</f>
        <v/>
      </c>
    </row>
    <row r="8">
      <c r="A8" t="inlineStr">
        <is>
          <t>c_list_start</t>
        </is>
      </c>
      <c r="B8">
        <f>IF(c_bundle,2,IF(c_lng,45,IF(c_tso_row&gt;0,INDEX(lst_tso_start,c_tso_row),1)))</f>
        <v/>
      </c>
      <c r="D8">
        <f>IF(7&gt;c_period_count,"",IF(c_inst=1,(c_first_gy+6)&amp;"/"&amp;RIGHT(c_first_gy+7,2),IF(c_inst=2,(c_first_gy+INT(6/4))&amp;" Q"&amp;(MOD(6,4)+1),(c_first_gy+INT(6/12))&amp;"-"&amp;RIGHT("0"&amp;(MOD(6,12)+1),2))))</f>
        <v/>
      </c>
    </row>
    <row r="9">
      <c r="A9" t="inlineStr">
        <is>
          <t>c_list_count</t>
        </is>
      </c>
      <c r="B9">
        <f>IF(c_bundle,43,IF(c_lng,14,IF(c_tso_row&gt;0,INDEX(lst_tso_count,c_tso_row),1)))</f>
        <v/>
      </c>
      <c r="D9">
        <f>IF(8&gt;c_period_count,"",IF(c_inst=1,(c_first_gy+7)&amp;"/"&amp;RIGHT(c_first_gy+8,2),IF(c_inst=2,(c_first_gy+INT(7/4))&amp;" Q"&amp;(MOD(7,4)+1),(c_first_gy+INT(7/12))&amp;"-"&amp;RIGHT("0"&amp;(MOD(7,12)+1),2))))</f>
        <v/>
      </c>
    </row>
    <row r="10">
      <c r="A10" t="inlineStr">
        <is>
          <t>c_point_pos</t>
        </is>
      </c>
      <c r="B10">
        <f>IF(AND(c_booking_ok,c_tso_ok),IFERROR(MATCH(in_point,dv_points,0),0),0)</f>
        <v/>
      </c>
      <c r="D10">
        <f>IF(9&gt;c_period_count,"",IF(c_inst=1,(c_first_gy+8)&amp;"/"&amp;RIGHT(c_first_gy+9,2),IF(c_inst=2,(c_first_gy+INT(8/4))&amp;" Q"&amp;(MOD(8,4)+1),(c_first_gy+INT(8/12))&amp;"-"&amp;RIGHT("0"&amp;(MOD(8,12)+1),2))))</f>
        <v/>
      </c>
    </row>
    <row r="11">
      <c r="A11" t="inlineStr">
        <is>
          <t>c_point_ok</t>
        </is>
      </c>
      <c r="B11">
        <f>c_point_pos&gt;0</f>
        <v/>
      </c>
      <c r="D11">
        <f>IF(10&gt;c_period_count,"",IF(c_inst=1,(c_first_gy+9)&amp;"/"&amp;RIGHT(c_first_gy+10,2),IF(c_inst=2,(c_first_gy+INT(9/4))&amp;" Q"&amp;(MOD(9,4)+1),(c_first_gy+INT(9/12))&amp;"-"&amp;RIGHT("0"&amp;(MOD(9,12)+1),2))))</f>
        <v/>
      </c>
    </row>
    <row r="12">
      <c r="A12" t="inlineStr">
        <is>
          <t>c_label_row</t>
        </is>
      </c>
      <c r="B12">
        <f>c_list_start+c_point_pos-1</f>
        <v/>
      </c>
      <c r="D12">
        <f>IF(11&gt;c_period_count,"",IF(c_inst=1,(c_first_gy+10)&amp;"/"&amp;RIGHT(c_first_gy+11,2),IF(c_inst=2,(c_first_gy+INT(10/4))&amp;" Q"&amp;(MOD(10,4)+1),(c_first_gy+INT(10/12))&amp;"-"&amp;RIGHT("0"&amp;(MOD(10,12)+1),2))))</f>
        <v/>
      </c>
    </row>
    <row r="13">
      <c r="A13" t="inlineStr">
        <is>
          <t>c_id1</t>
        </is>
      </c>
      <c r="B13">
        <f>IF(c_point_ok,INDEX(lst_id1,c_label_row),"")</f>
        <v/>
      </c>
      <c r="D13">
        <f>IF(12&gt;c_period_count,"",IF(c_inst=1,(c_first_gy+11)&amp;"/"&amp;RIGHT(c_first_gy+12,2),IF(c_inst=2,(c_first_gy+INT(11/4))&amp;" Q"&amp;(MOD(11,4)+1),(c_first_gy+INT(11/12))&amp;"-"&amp;RIGHT("0"&amp;(MOD(11,12)+1),2))))</f>
        <v/>
      </c>
    </row>
    <row r="14">
      <c r="A14" t="inlineStr">
        <is>
          <t>c_id2</t>
        </is>
      </c>
      <c r="B14">
        <f>IF(AND(c_point_ok,c_bundle),INDEX(lst_id2,c_label_row),"")</f>
        <v/>
      </c>
      <c r="D14">
        <f>IF(13&gt;c_period_count,"",IF(c_inst=1,(c_first_gy+12)&amp;"/"&amp;RIGHT(c_first_gy+13,2),IF(c_inst=2,(c_first_gy+INT(12/4))&amp;" Q"&amp;(MOD(12,4)+1),(c_first_gy+INT(12/12))&amp;"-"&amp;RIGHT("0"&amp;(MOD(12,12)+1),2))))</f>
        <v/>
      </c>
    </row>
    <row r="15">
      <c r="A15" t="inlineStr">
        <is>
          <t>c_heading_label</t>
        </is>
      </c>
      <c r="B15">
        <f>IF(c_point_ok,INDEX(lst_heading,c_label_row),"")</f>
        <v/>
      </c>
      <c r="D15">
        <f>IF(14&gt;c_period_count,"",IF(c_inst=1,(c_first_gy+13)&amp;"/"&amp;RIGHT(c_first_gy+14,2),IF(c_inst=2,(c_first_gy+INT(13/4))&amp;" Q"&amp;(MOD(13,4)+1),(c_first_gy+INT(13/12))&amp;"-"&amp;RIGHT("0"&amp;(MOD(13,12)+1),2))))</f>
        <v/>
      </c>
    </row>
    <row r="16">
      <c r="A16" t="inlineStr">
        <is>
          <t>c_inst</t>
        </is>
      </c>
      <c r="B16">
        <f>IFERROR(MATCH(in_instrument,lst_instrument,0),0)</f>
        <v/>
      </c>
      <c r="D16">
        <f>IF(15&gt;c_period_count,"",IF(c_inst=1,(c_first_gy+14)&amp;"/"&amp;RIGHT(c_first_gy+15,2),IF(c_inst=2,(c_first_gy+INT(14/4))&amp;" Q"&amp;(MOD(14,4)+1),(c_first_gy+INT(14/12))&amp;"-"&amp;RIGHT("0"&amp;(MOD(14,12)+1),2))))</f>
        <v/>
      </c>
    </row>
    <row r="17">
      <c r="A17" t="inlineStr">
        <is>
          <t>c_today_gy</t>
        </is>
      </c>
      <c r="B17">
        <f>IF(MONTH(TODAY())&gt;=10,YEAR(TODAY()),YEAR(TODAY())-1)</f>
        <v/>
      </c>
      <c r="D17">
        <f>IF(16&gt;c_period_count,"",IF(c_inst=1,(c_first_gy+15)&amp;"/"&amp;RIGHT(c_first_gy+16,2),IF(c_inst=2,(c_first_gy+INT(15/4))&amp;" Q"&amp;(MOD(15,4)+1),(c_first_gy+INT(15/12))&amp;"-"&amp;RIGHT("0"&amp;(MOD(15,12)+1),2))))</f>
        <v/>
      </c>
    </row>
    <row r="18">
      <c r="A18" t="inlineStr">
        <is>
          <t>c_last_gy</t>
        </is>
      </c>
      <c r="B18">
        <f>c_today_gy+2</f>
        <v/>
      </c>
      <c r="D18">
        <f>IF(17&gt;c_period_count,"",IF(c_inst=1,(c_first_gy+16)&amp;"/"&amp;RIGHT(c_first_gy+17,2),IF(c_inst=2,(c_first_gy+INT(16/4))&amp;" Q"&amp;(MOD(16,4)+1),(c_first_gy+INT(16/12))&amp;"-"&amp;RIGHT("0"&amp;(MOD(16,12)+1),2))))</f>
        <v/>
      </c>
    </row>
    <row r="19">
      <c r="A19" t="inlineStr">
        <is>
          <t>c_first_gy</t>
        </is>
      </c>
      <c r="B19">
        <f>IF(c_point_ok,MIN(c_last_gy,MAX(INDEX(pt_first_gy,c_id1),IF(c_bundle,INDEX(pt_first_gy,c_id2),0))),c_today_gy)</f>
        <v/>
      </c>
      <c r="D19">
        <f>IF(18&gt;c_period_count,"",IF(c_inst=1,(c_first_gy+17)&amp;"/"&amp;RIGHT(c_first_gy+18,2),IF(c_inst=2,(c_first_gy+INT(17/4))&amp;" Q"&amp;(MOD(17,4)+1),(c_first_gy+INT(17/12))&amp;"-"&amp;RIGHT("0"&amp;(MOD(17,12)+1),2))))</f>
        <v/>
      </c>
    </row>
    <row r="20">
      <c r="A20" t="inlineStr">
        <is>
          <t>c_n_gy</t>
        </is>
      </c>
      <c r="B20">
        <f>c_last_gy-c_first_gy+1</f>
        <v/>
      </c>
      <c r="D20">
        <f>IF(19&gt;c_period_count,"",IF(c_inst=1,(c_first_gy+18)&amp;"/"&amp;RIGHT(c_first_gy+19,2),IF(c_inst=2,(c_first_gy+INT(18/4))&amp;" Q"&amp;(MOD(18,4)+1),(c_first_gy+INT(18/12))&amp;"-"&amp;RIGHT("0"&amp;(MOD(18,12)+1),2))))</f>
        <v/>
      </c>
    </row>
    <row r="21">
      <c r="A21" t="inlineStr">
        <is>
          <t>c_period_count</t>
        </is>
      </c>
      <c r="B21">
        <f>IF(c_inst=1,c_n_gy,IF(c_inst=2,4*(c_n_gy+1),IF(c_inst=3,12*(c_n_gy+1),0)))</f>
        <v/>
      </c>
      <c r="D21">
        <f>IF(20&gt;c_period_count,"",IF(c_inst=1,(c_first_gy+19)&amp;"/"&amp;RIGHT(c_first_gy+20,2),IF(c_inst=2,(c_first_gy+INT(19/4))&amp;" Q"&amp;(MOD(19,4)+1),(c_first_gy+INT(19/12))&amp;"-"&amp;RIGHT("0"&amp;(MOD(19,12)+1),2))))</f>
        <v/>
      </c>
    </row>
    <row r="22">
      <c r="A22" t="inlineStr">
        <is>
          <t>c_period_pos</t>
        </is>
      </c>
      <c r="B22">
        <f>IF(AND(c_inst&gt;=1,c_inst&lt;=3,c_period_count&gt;0),IFERROR(MATCH(in_period&amp;"",dv_periods,0),0),0)</f>
        <v/>
      </c>
      <c r="D22">
        <f>IF(21&gt;c_period_count,"",IF(c_inst=1,(c_first_gy+20)&amp;"/"&amp;RIGHT(c_first_gy+21,2),IF(c_inst=2,(c_first_gy+INT(20/4))&amp;" Q"&amp;(MOD(20,4)+1),(c_first_gy+INT(20/12))&amp;"-"&amp;RIGHT("0"&amp;(MOD(20,12)+1),2))))</f>
        <v/>
      </c>
    </row>
    <row r="23">
      <c r="A23" t="inlineStr">
        <is>
          <t>c_day_ok</t>
        </is>
      </c>
      <c r="B23">
        <f>AND(c_inst=4,ISNUMBER(in_day))</f>
        <v/>
      </c>
      <c r="D23">
        <f>IF(22&gt;c_period_count,"",IF(c_inst=1,(c_first_gy+21)&amp;"/"&amp;RIGHT(c_first_gy+22,2),IF(c_inst=2,(c_first_gy+INT(21/4))&amp;" Q"&amp;(MOD(21,4)+1),(c_first_gy+INT(21/12))&amp;"-"&amp;RIGHT("0"&amp;(MOD(21,12)+1),2))))</f>
        <v/>
      </c>
    </row>
    <row r="24">
      <c r="A24" t="inlineStr">
        <is>
          <t>c_period_ok</t>
        </is>
      </c>
      <c r="B24">
        <f>IF(c_inst=4,c_day_ok,c_period_pos&gt;0)</f>
        <v/>
      </c>
      <c r="D24">
        <f>IF(23&gt;c_period_count,"",IF(c_inst=1,(c_first_gy+22)&amp;"/"&amp;RIGHT(c_first_gy+23,2),IF(c_inst=2,(c_first_gy+INT(22/4))&amp;" Q"&amp;(MOD(22,4)+1),(c_first_gy+INT(22/12))&amp;"-"&amp;RIGHT("0"&amp;(MOD(22,12)+1),2))))</f>
        <v/>
      </c>
    </row>
    <row r="25">
      <c r="A25" t="inlineStr">
        <is>
          <t>c_py</t>
        </is>
      </c>
      <c r="B25">
        <f>c_first_gy+IF(c_inst=2,INT((c_period_pos-1)/4),IF(c_inst=3,INT((c_period_pos-1)/12),c_period_pos-1))</f>
        <v/>
      </c>
      <c r="D25">
        <f>IF(24&gt;c_period_count,"",IF(c_inst=1,(c_first_gy+23)&amp;"/"&amp;RIGHT(c_first_gy+24,2),IF(c_inst=2,(c_first_gy+INT(23/4))&amp;" Q"&amp;(MOD(23,4)+1),(c_first_gy+INT(23/12))&amp;"-"&amp;RIGHT("0"&amp;(MOD(23,12)+1),2))))</f>
        <v/>
      </c>
    </row>
    <row r="26">
      <c r="A26" t="inlineStr">
        <is>
          <t>c_pq</t>
        </is>
      </c>
      <c r="B26">
        <f>MOD(c_period_pos-1,4)+1</f>
        <v/>
      </c>
      <c r="D26">
        <f>IF(25&gt;c_period_count,"",IF(c_inst=1,(c_first_gy+24)&amp;"/"&amp;RIGHT(c_first_gy+25,2),IF(c_inst=2,(c_first_gy+INT(24/4))&amp;" Q"&amp;(MOD(24,4)+1),(c_first_gy+INT(24/12))&amp;"-"&amp;RIGHT("0"&amp;(MOD(24,12)+1),2))))</f>
        <v/>
      </c>
    </row>
    <row r="27">
      <c r="A27" t="inlineStr">
        <is>
          <t>c_pm</t>
        </is>
      </c>
      <c r="B27">
        <f>MOD(c_period_pos-1,12)+1</f>
        <v/>
      </c>
      <c r="D27">
        <f>IF(26&gt;c_period_count,"",IF(c_inst=1,(c_first_gy+25)&amp;"/"&amp;RIGHT(c_first_gy+26,2),IF(c_inst=2,(c_first_gy+INT(25/4))&amp;" Q"&amp;(MOD(25,4)+1),(c_first_gy+INT(25/12))&amp;"-"&amp;RIGHT("0"&amp;(MOD(25,12)+1),2))))</f>
        <v/>
      </c>
    </row>
    <row r="28">
      <c r="A28" t="inlineStr">
        <is>
          <t>c_start</t>
        </is>
      </c>
      <c r="B28">
        <f>IF(NOT(c_period_ok),"",CHOOSE(c_inst,DATE(c_py,10,1),DATE(c_py,3*c_pq-2,1),DATE(c_py,c_pm,1),INT(in_day)))</f>
        <v/>
      </c>
      <c r="D28">
        <f>IF(27&gt;c_period_count,"",IF(c_inst=1,(c_first_gy+26)&amp;"/"&amp;RIGHT(c_first_gy+27,2),IF(c_inst=2,(c_first_gy+INT(26/4))&amp;" Q"&amp;(MOD(26,4)+1),(c_first_gy+INT(26/12))&amp;"-"&amp;RIGHT("0"&amp;(MOD(26,12)+1),2))))</f>
        <v/>
      </c>
    </row>
    <row r="29">
      <c r="A29" t="inlineStr">
        <is>
          <t>c_end</t>
        </is>
      </c>
      <c r="B29">
        <f>IF(NOT(c_period_ok),"",CHOOSE(c_inst,DATE(c_py+1,9,30),DATE(c_py,3*c_pq+1,0),DATE(c_py,c_pm+1,0),INT(in_day)))</f>
        <v/>
      </c>
      <c r="D29">
        <f>IF(28&gt;c_period_count,"",IF(c_inst=1,(c_first_gy+27)&amp;"/"&amp;RIGHT(c_first_gy+28,2),IF(c_inst=2,(c_first_gy+INT(27/4))&amp;" Q"&amp;(MOD(27,4)+1),(c_first_gy+INT(27/12))&amp;"-"&amp;RIGHT("0"&amp;(MOD(27,12)+1),2))))</f>
        <v/>
      </c>
    </row>
    <row r="30">
      <c r="A30" t="inlineStr">
        <is>
          <t>c_unit_hours</t>
        </is>
      </c>
      <c r="B30">
        <f>IF(in_unit="kWh/h",24,IF(in_unit="kWh/d",1,0))</f>
        <v/>
      </c>
      <c r="D30">
        <f>IF(29&gt;c_period_count,"",IF(c_inst=1,(c_first_gy+28)&amp;"/"&amp;RIGHT(c_first_gy+29,2),IF(c_inst=2,(c_first_gy+INT(28/4))&amp;" Q"&amp;(MOD(28,4)+1),(c_first_gy+INT(28/12))&amp;"-"&amp;RIGHT("0"&amp;(MOD(28,12)+1),2))))</f>
        <v/>
      </c>
    </row>
    <row r="31">
      <c r="A31" t="inlineStr">
        <is>
          <t>c_capacity_ok</t>
        </is>
      </c>
      <c r="B31">
        <f>AND(ISNUMBER(in_capacity),IF(ISNUMBER(in_capacity),in_capacity&gt;0,FALSE))</f>
        <v/>
      </c>
      <c r="D31">
        <f>IF(30&gt;c_period_count,"",IF(c_inst=1,(c_first_gy+29)&amp;"/"&amp;RIGHT(c_first_gy+30,2),IF(c_inst=2,(c_first_gy+INT(29/4))&amp;" Q"&amp;(MOD(29,4)+1),(c_first_gy+INT(29/12))&amp;"-"&amp;RIGHT("0"&amp;(MOD(29,12)+1),2))))</f>
        <v/>
      </c>
    </row>
    <row r="32">
      <c r="A32" t="inlineStr">
        <is>
          <t>c_kwh_d</t>
        </is>
      </c>
      <c r="B32">
        <f>IF(c_capacity_ok,in_capacity*c_unit_hours,0)</f>
        <v/>
      </c>
      <c r="D32">
        <f>IF(31&gt;c_period_count,"",IF(c_inst=1,(c_first_gy+30)&amp;"/"&amp;RIGHT(c_first_gy+31,2),IF(c_inst=2,(c_first_gy+INT(30/4))&amp;" Q"&amp;(MOD(30,4)+1),(c_first_gy+INT(30/12))&amp;"-"&amp;RIGHT("0"&amp;(MOD(30,12)+1),2))))</f>
        <v/>
      </c>
    </row>
    <row r="33">
      <c r="A33" t="inlineStr">
        <is>
          <t>c_input_msg</t>
        </is>
      </c>
      <c r="B33">
        <f>IF(NOT(c_booking_ok),"Choose a booking type from the list.",IF(NOT(c_tso_ok),"Choose a TSO from the list.",IF(NOT(c_point_ok),"Choose a point from the list.",IF(c_inst=0,"Choose a product instrument from the list.",IF(NOT(c_period_ok),IF(c_inst=4,"Choose a product period.","Choose a period from the list."),IF(c_unit_hours=0,"Choose a unit from the list.",IF(NOT(c_capacity_ok),"Capacity must be a positive number.","")))))))</f>
        <v/>
      </c>
      <c r="D33">
        <f>IF(32&gt;c_period_count,"",IF(c_inst=1,(c_first_gy+31)&amp;"/"&amp;RIGHT(c_first_gy+32,2),IF(c_inst=2,(c_first_gy+INT(31/4))&amp;" Q"&amp;(MOD(31,4)+1),(c_first_gy+INT(31/12))&amp;"-"&amp;RIGHT("0"&amp;(MOD(31,12)+1),2))))</f>
        <v/>
      </c>
    </row>
    <row r="34">
      <c r="A34" t="inlineStr">
        <is>
          <t>c_inputs_ok</t>
        </is>
      </c>
      <c r="B34">
        <f>c_input_msg=""</f>
        <v/>
      </c>
      <c r="D34">
        <f>IF(33&gt;c_period_count,"",IF(c_inst=1,(c_first_gy+32)&amp;"/"&amp;RIGHT(c_first_gy+33,2),IF(c_inst=2,(c_first_gy+INT(32/4))&amp;" Q"&amp;(MOD(32,4)+1),(c_first_gy+INT(32/12))&amp;"-"&amp;RIGHT("0"&amp;(MOD(32,12)+1),2))))</f>
        <v/>
      </c>
    </row>
    <row r="35">
      <c r="A35" t="inlineStr">
        <is>
          <t>c_notariff_msg</t>
        </is>
      </c>
      <c r="B35">
        <f>IF(sa_notariff,sa_missing_msg,IF(sb_notariff,sb_missing_msg,""))</f>
        <v/>
      </c>
      <c r="D35">
        <f>IF(34&gt;c_period_count,"",IF(c_inst=1,(c_first_gy+33)&amp;"/"&amp;RIGHT(c_first_gy+34,2),IF(c_inst=2,(c_first_gy+INT(33/4))&amp;" Q"&amp;(MOD(33,4)+1),(c_first_gy+INT(33/12))&amp;"-"&amp;RIGHT("0"&amp;(MOD(33,12)+1),2))))</f>
        <v/>
      </c>
    </row>
    <row r="36">
      <c r="A36" t="inlineStr">
        <is>
          <t>c_msg</t>
        </is>
      </c>
      <c r="B36">
        <f>IF(c_input_msg&lt;&gt;"",c_input_msg,c_notariff_msg)</f>
        <v/>
      </c>
      <c r="D36">
        <f>IF(35&gt;c_period_count,"",IF(c_inst=1,(c_first_gy+34)&amp;"/"&amp;RIGHT(c_first_gy+35,2),IF(c_inst=2,(c_first_gy+INT(34/4))&amp;" Q"&amp;(MOD(34,4)+1),(c_first_gy+INT(34/12))&amp;"-"&amp;RIGHT("0"&amp;(MOD(34,12)+1),2))))</f>
        <v/>
      </c>
    </row>
    <row r="37">
      <c r="A37" t="inlineStr">
        <is>
          <t>c_ok</t>
        </is>
      </c>
      <c r="B37">
        <f>c_msg=""</f>
        <v/>
      </c>
      <c r="D37">
        <f>IF(36&gt;c_period_count,"",IF(c_inst=1,(c_first_gy+35)&amp;"/"&amp;RIGHT(c_first_gy+36,2),IF(c_inst=2,(c_first_gy+INT(35/4))&amp;" Q"&amp;(MOD(35,4)+1),(c_first_gy+INT(35/12))&amp;"-"&amp;RIGHT("0"&amp;(MOD(35,12)+1),2))))</f>
        <v/>
      </c>
    </row>
    <row r="38">
      <c r="A38" t="inlineStr">
        <is>
          <t>c_heading</t>
        </is>
      </c>
      <c r="B38">
        <f>IF(c_ok,c_heading_label&amp;": "&amp;LOWER(in_instrument)&amp;" "&amp;YEAR(c_start)&amp;"-"&amp;RIGHT("0"&amp;MONTH(c_start),2)&amp;"-"&amp;RIGHT("0"&amp;DAY(c_start),2)&amp;IF(c_start=c_end,""," to "&amp;YEAR(c_end)&amp;"-"&amp;RIGHT("0"&amp;MONTH(c_end),2)&amp;"-"&amp;RIGHT("0"&amp;DAY(c_end),2)),"")</f>
        <v/>
      </c>
      <c r="D38">
        <f>IF(37&gt;c_period_count,"",IF(c_inst=1,(c_first_gy+36)&amp;"/"&amp;RIGHT(c_first_gy+37,2),IF(c_inst=2,(c_first_gy+INT(36/4))&amp;" Q"&amp;(MOD(36,4)+1),(c_first_gy+INT(36/12))&amp;"-"&amp;RIGHT("0"&amp;(MOD(36,12)+1),2))))</f>
        <v/>
      </c>
    </row>
    <row r="39">
      <c r="A39" t="inlineStr">
        <is>
          <t>c_eur_on</t>
        </is>
      </c>
      <c r="B39">
        <f>AND(c_ok,c_bundle)</f>
        <v/>
      </c>
      <c r="D39">
        <f>IF(38&gt;c_period_count,"",IF(c_inst=1,(c_first_gy+37)&amp;"/"&amp;RIGHT(c_first_gy+38,2),IF(c_inst=2,(c_first_gy+INT(37/4))&amp;" Q"&amp;(MOD(37,4)+1),(c_first_gy+INT(37/12))&amp;"-"&amp;RIGHT("0"&amp;(MOD(37,12)+1),2))))</f>
        <v/>
      </c>
    </row>
    <row r="40">
      <c r="A40" t="inlineStr">
        <is>
          <t>c_r1_cur</t>
        </is>
      </c>
      <c r="B40">
        <f>IF(AND(c_eur_on,sa_currency&lt;&gt;"EUR"),sa_currency,"")</f>
        <v/>
      </c>
      <c r="D40">
        <f>IF(39&gt;c_period_count,"",IF(c_inst=1,(c_first_gy+38)&amp;"/"&amp;RIGHT(c_first_gy+39,2),IF(c_inst=2,(c_first_gy+INT(38/4))&amp;" Q"&amp;(MOD(38,4)+1),(c_first_gy+INT(38/12))&amp;"-"&amp;RIGHT("0"&amp;(MOD(38,12)+1),2))))</f>
        <v/>
      </c>
    </row>
    <row r="41">
      <c r="A41" t="inlineStr">
        <is>
          <t>c_r2_cur</t>
        </is>
      </c>
      <c r="B41">
        <f>IF(AND(c_eur_on,sb_currency&lt;&gt;"EUR",sb_currency&lt;&gt;sa_currency),sb_currency,"")</f>
        <v/>
      </c>
      <c r="D41">
        <f>IF(40&gt;c_period_count,"",IF(c_inst=1,(c_first_gy+39)&amp;"/"&amp;RIGHT(c_first_gy+40,2),IF(c_inst=2,(c_first_gy+INT(39/4))&amp;" Q"&amp;(MOD(39,4)+1),(c_first_gy+INT(39/12))&amp;"-"&amp;RIGHT("0"&amp;(MOD(39,12)+1),2))))</f>
        <v/>
      </c>
    </row>
    <row r="42">
      <c r="A42" t="inlineStr">
        <is>
          <t>c_r1_state</t>
        </is>
      </c>
      <c r="B42">
        <f>IF(c_r1_cur="","",IF(ISBLANK(INDEX(in_rates,MATCH(c_r1_cur,lst_rate_cur,0))),"missing",IF(ISNUMBER(INDEX(in_rates,MATCH(c_r1_cur,lst_rate_cur,0))),IF(INDEX(in_rates,MATCH(c_r1_cur,lst_rate_cur,0))&gt;0,"ok","invalid"),"invalid")))</f>
        <v/>
      </c>
      <c r="D42">
        <f>IF(41&gt;c_period_count,"",IF(c_inst=1,(c_first_gy+40)&amp;"/"&amp;RIGHT(c_first_gy+41,2),IF(c_inst=2,(c_first_gy+INT(40/4))&amp;" Q"&amp;(MOD(40,4)+1),(c_first_gy+INT(40/12))&amp;"-"&amp;RIGHT("0"&amp;(MOD(40,12)+1),2))))</f>
        <v/>
      </c>
    </row>
    <row r="43">
      <c r="A43" t="inlineStr">
        <is>
          <t>c_r1_rate</t>
        </is>
      </c>
      <c r="B43">
        <f>IF(c_r1_state="ok",INDEX(in_rates,MATCH(c_r1_cur,lst_rate_cur,0)),"")</f>
        <v/>
      </c>
      <c r="D43">
        <f>IF(42&gt;c_period_count,"",IF(c_inst=1,(c_first_gy+41)&amp;"/"&amp;RIGHT(c_first_gy+42,2),IF(c_inst=2,(c_first_gy+INT(41/4))&amp;" Q"&amp;(MOD(41,4)+1),(c_first_gy+INT(41/12))&amp;"-"&amp;RIGHT("0"&amp;(MOD(41,12)+1),2))))</f>
        <v/>
      </c>
    </row>
    <row r="44">
      <c r="A44" t="inlineStr">
        <is>
          <t>c_r2_state</t>
        </is>
      </c>
      <c r="B44">
        <f>IF(c_r2_cur="","",IF(ISBLANK(INDEX(in_rates,MATCH(c_r2_cur,lst_rate_cur,0))),"missing",IF(ISNUMBER(INDEX(in_rates,MATCH(c_r2_cur,lst_rate_cur,0))),IF(INDEX(in_rates,MATCH(c_r2_cur,lst_rate_cur,0))&gt;0,"ok","invalid"),"invalid")))</f>
        <v/>
      </c>
      <c r="D44">
        <f>IF(43&gt;c_period_count,"",IF(c_inst=1,(c_first_gy+42)&amp;"/"&amp;RIGHT(c_first_gy+43,2),IF(c_inst=2,(c_first_gy+INT(42/4))&amp;" Q"&amp;(MOD(42,4)+1),(c_first_gy+INT(42/12))&amp;"-"&amp;RIGHT("0"&amp;(MOD(42,12)+1),2))))</f>
        <v/>
      </c>
    </row>
    <row r="45">
      <c r="A45" t="inlineStr">
        <is>
          <t>c_r2_rate</t>
        </is>
      </c>
      <c r="B45">
        <f>IF(c_r2_state="ok",INDEX(in_rates,MATCH(c_r2_cur,lst_rate_cur,0)),"")</f>
        <v/>
      </c>
      <c r="D45">
        <f>IF(44&gt;c_period_count,"",IF(c_inst=1,(c_first_gy+43)&amp;"/"&amp;RIGHT(c_first_gy+44,2),IF(c_inst=2,(c_first_gy+INT(43/4))&amp;" Q"&amp;(MOD(43,4)+1),(c_first_gy+INT(43/12))&amp;"-"&amp;RIGHT("0"&amp;(MOD(43,12)+1),2))))</f>
        <v/>
      </c>
    </row>
    <row r="46">
      <c r="A46" t="inlineStr">
        <is>
          <t>c_missing_1</t>
        </is>
      </c>
      <c r="B46">
        <f>IF(c_r1_state="missing",c_r1_cur&amp;" per EUR","")</f>
        <v/>
      </c>
      <c r="D46">
        <f>IF(45&gt;c_period_count,"",IF(c_inst=1,(c_first_gy+44)&amp;"/"&amp;RIGHT(c_first_gy+45,2),IF(c_inst=2,(c_first_gy+INT(44/4))&amp;" Q"&amp;(MOD(44,4)+1),(c_first_gy+INT(44/12))&amp;"-"&amp;RIGHT("0"&amp;(MOD(44,12)+1),2))))</f>
        <v/>
      </c>
    </row>
    <row r="47">
      <c r="A47" t="inlineStr">
        <is>
          <t>c_missing_2</t>
        </is>
      </c>
      <c r="B47">
        <f>IF(c_r2_state="missing",c_r2_cur&amp;" per EUR","")</f>
        <v/>
      </c>
      <c r="D47">
        <f>IF(46&gt;c_period_count,"",IF(c_inst=1,(c_first_gy+45)&amp;"/"&amp;RIGHT(c_first_gy+46,2),IF(c_inst=2,(c_first_gy+INT(45/4))&amp;" Q"&amp;(MOD(45,4)+1),(c_first_gy+INT(45/12))&amp;"-"&amp;RIGHT("0"&amp;(MOD(45,12)+1),2))))</f>
        <v/>
      </c>
    </row>
    <row r="48">
      <c r="A48" t="inlineStr">
        <is>
          <t>c_missing_names</t>
        </is>
      </c>
      <c r="B48">
        <f>IF(AND(c_missing_1&lt;&gt;"",c_missing_2&lt;&gt;""),c_missing_1&amp;" and "&amp;c_missing_2,c_missing_1&amp;c_missing_2)</f>
        <v/>
      </c>
      <c r="D48">
        <f>IF(47&gt;c_period_count,"",IF(c_inst=1,(c_first_gy+46)&amp;"/"&amp;RIGHT(c_first_gy+47,2),IF(c_inst=2,(c_first_gy+INT(46/4))&amp;" Q"&amp;(MOD(46,4)+1),(c_first_gy+INT(46/12))&amp;"-"&amp;RIGHT("0"&amp;(MOD(46,12)+1),2))))</f>
        <v/>
      </c>
    </row>
    <row r="49">
      <c r="A49" t="inlineStr">
        <is>
          <t>c_invalid_1</t>
        </is>
      </c>
      <c r="B49">
        <f>IF(c_r1_state="invalid",c_r1_cur&amp;" per EUR","")</f>
        <v/>
      </c>
      <c r="D49">
        <f>IF(48&gt;c_period_count,"",IF(c_inst=1,(c_first_gy+47)&amp;"/"&amp;RIGHT(c_first_gy+48,2),IF(c_inst=2,(c_first_gy+INT(47/4))&amp;" Q"&amp;(MOD(47,4)+1),(c_first_gy+INT(47/12))&amp;"-"&amp;RIGHT("0"&amp;(MOD(47,12)+1),2))))</f>
        <v/>
      </c>
    </row>
    <row r="50">
      <c r="A50" t="inlineStr">
        <is>
          <t>c_invalid_2</t>
        </is>
      </c>
      <c r="B50">
        <f>IF(c_r2_state="invalid",c_r2_cur&amp;" per EUR","")</f>
        <v/>
      </c>
      <c r="D50">
        <f>IF(49&gt;c_period_count,"",IF(c_inst=1,(c_first_gy+48)&amp;"/"&amp;RIGHT(c_first_gy+49,2),IF(c_inst=2,(c_first_gy+INT(48/4))&amp;" Q"&amp;(MOD(48,4)+1),(c_first_gy+INT(48/12))&amp;"-"&amp;RIGHT("0"&amp;(MOD(48,12)+1),2))))</f>
        <v/>
      </c>
    </row>
    <row r="51">
      <c r="A51" t="inlineStr">
        <is>
          <t>c_invalid_names</t>
        </is>
      </c>
      <c r="B51">
        <f>IF(AND(c_invalid_1&lt;&gt;"",c_invalid_2&lt;&gt;""),c_invalid_1&amp;" and "&amp;c_invalid_2,c_invalid_1&amp;c_invalid_2)</f>
        <v/>
      </c>
      <c r="D51">
        <f>IF(50&gt;c_period_count,"",IF(c_inst=1,(c_first_gy+49)&amp;"/"&amp;RIGHT(c_first_gy+50,2),IF(c_inst=2,(c_first_gy+INT(49/4))&amp;" Q"&amp;(MOD(49,4)+1),(c_first_gy+INT(49/12))&amp;"-"&amp;RIGHT("0"&amp;(MOD(49,12)+1),2))))</f>
        <v/>
      </c>
    </row>
    <row r="52">
      <c r="A52" t="inlineStr">
        <is>
          <t>c_missing_text</t>
        </is>
      </c>
      <c r="B52">
        <f>IF(c_missing_names="","","Enter the "&amp;c_missing_names&amp;" rate"&amp;IF(AND(c_missing_1&lt;&gt;"",c_missing_2&lt;&gt;""),"s","")&amp;" to see the EUR total.")</f>
        <v/>
      </c>
      <c r="D52">
        <f>IF(51&gt;c_period_count,"",IF(c_inst=1,(c_first_gy+50)&amp;"/"&amp;RIGHT(c_first_gy+51,2),IF(c_inst=2,(c_first_gy+INT(50/4))&amp;" Q"&amp;(MOD(50,4)+1),(c_first_gy+INT(50/12))&amp;"-"&amp;RIGHT("0"&amp;(MOD(50,12)+1),2))))</f>
        <v/>
      </c>
    </row>
    <row r="53">
      <c r="A53" t="inlineStr">
        <is>
          <t>c_invalid_text</t>
        </is>
      </c>
      <c r="B53">
        <f>IF(c_invalid_names="","","The "&amp;c_invalid_names&amp;" rate must be a positive number.")</f>
        <v/>
      </c>
      <c r="D53">
        <f>IF(52&gt;c_period_count,"",IF(c_inst=1,(c_first_gy+51)&amp;"/"&amp;RIGHT(c_first_gy+52,2),IF(c_inst=2,(c_first_gy+INT(51/4))&amp;" Q"&amp;(MOD(51,4)+1),(c_first_gy+INT(51/12))&amp;"-"&amp;RIGHT("0"&amp;(MOD(51,12)+1),2))))</f>
        <v/>
      </c>
    </row>
    <row r="54">
      <c r="A54" t="inlineStr">
        <is>
          <t>c_eur_msg</t>
        </is>
      </c>
      <c r="B54">
        <f>IF(NOT(c_eur_on),"",IF(AND(c_missing_text&lt;&gt;"",c_invalid_text&lt;&gt;""),c_missing_text&amp;" "&amp;c_invalid_text,c_missing_text&amp;c_invalid_text))</f>
        <v/>
      </c>
      <c r="D54">
        <f>IF(53&gt;c_period_count,"",IF(c_inst=1,(c_first_gy+52)&amp;"/"&amp;RIGHT(c_first_gy+53,2),IF(c_inst=2,(c_first_gy+INT(52/4))&amp;" Q"&amp;(MOD(52,4)+1),(c_first_gy+INT(52/12))&amp;"-"&amp;RIGHT("0"&amp;(MOD(52,12)+1),2))))</f>
        <v/>
      </c>
    </row>
    <row r="55">
      <c r="A55" t="inlineStr">
        <is>
          <t>c_eur_ready</t>
        </is>
      </c>
      <c r="B55">
        <f>AND(c_eur_on,c_eur_msg="")</f>
        <v/>
      </c>
      <c r="D55">
        <f>IF(54&gt;c_period_count,"",IF(c_inst=1,(c_first_gy+53)&amp;"/"&amp;RIGHT(c_first_gy+54,2),IF(c_inst=2,(c_first_gy+INT(53/4))&amp;" Q"&amp;(MOD(53,4)+1),(c_first_gy+INT(53/12))&amp;"-"&amp;RIGHT("0"&amp;(MOD(53,12)+1),2))))</f>
        <v/>
      </c>
    </row>
    <row r="56">
      <c r="A56" t="inlineStr">
        <is>
          <t>c_eur_total</t>
        </is>
      </c>
      <c r="B56">
        <f>IF(c_eur_ready,ROUND(ROUND(sa_total/IF(sa_currency="EUR",1,IF(sa_currency=c_r1_cur,c_r1_rate,c_r2_rate))+sb_total/IF(sb_currency="EUR",1,IF(sb_currency=c_r1_cur,c_r1_rate,c_r2_rate)),8),2),"")</f>
        <v/>
      </c>
      <c r="D56">
        <f>IF(55&gt;c_period_count,"",IF(c_inst=1,(c_first_gy+54)&amp;"/"&amp;RIGHT(c_first_gy+55,2),IF(c_inst=2,(c_first_gy+INT(54/4))&amp;" Q"&amp;(MOD(54,4)+1),(c_first_gy+INT(54/12))&amp;"-"&amp;RIGHT("0"&amp;(MOD(54,12)+1),2))))</f>
        <v/>
      </c>
    </row>
    <row r="57">
      <c r="A57" t="inlineStr">
        <is>
          <t>c_r1_text</t>
        </is>
      </c>
      <c r="B57">
        <f>IF(c_r1_cur="","","at 1 EUR = "&amp;c_r1_rate&amp;" "&amp;c_r1_cur)</f>
        <v/>
      </c>
      <c r="D57">
        <f>IF(56&gt;c_period_count,"",IF(c_inst=1,(c_first_gy+55)&amp;"/"&amp;RIGHT(c_first_gy+56,2),IF(c_inst=2,(c_first_gy+INT(55/4))&amp;" Q"&amp;(MOD(55,4)+1),(c_first_gy+INT(55/12))&amp;"-"&amp;RIGHT("0"&amp;(MOD(55,12)+1),2))))</f>
        <v/>
      </c>
    </row>
    <row r="58">
      <c r="A58" t="inlineStr">
        <is>
          <t>c_r2_text</t>
        </is>
      </c>
      <c r="B58">
        <f>IF(c_r2_cur="","","at 1 EUR = "&amp;c_r2_rate&amp;" "&amp;c_r2_cur)</f>
        <v/>
      </c>
      <c r="D58">
        <f>IF(57&gt;c_period_count,"",IF(c_inst=1,(c_first_gy+56)&amp;"/"&amp;RIGHT(c_first_gy+57,2),IF(c_inst=2,(c_first_gy+INT(56/4))&amp;" Q"&amp;(MOD(56,4)+1),(c_first_gy+INT(56/12))&amp;"-"&amp;RIGHT("0"&amp;(MOD(56,12)+1),2))))</f>
        <v/>
      </c>
    </row>
    <row r="59">
      <c r="A59" t="inlineStr">
        <is>
          <t>c_eur_caption</t>
        </is>
      </c>
      <c r="B59">
        <f>IF(NOT(c_eur_ready),"",IF(AND(c_r1_cur="",c_r2_cur=""),"Sum of both sides' totals, both in EUR.","Sum of both sides' totals, converted "&amp;c_r1_text&amp;IF(AND(c_r1_text&lt;&gt;"",c_r2_text&lt;&gt;""),"; ","")&amp;c_r2_text&amp;"."))</f>
        <v/>
      </c>
      <c r="D59">
        <f>IF(58&gt;c_period_count,"",IF(c_inst=1,(c_first_gy+57)&amp;"/"&amp;RIGHT(c_first_gy+58,2),IF(c_inst=2,(c_first_gy+INT(57/4))&amp;" Q"&amp;(MOD(57,4)+1),(c_first_gy+INT(57/12))&amp;"-"&amp;RIGHT("0"&amp;(MOD(57,12)+1),2))))</f>
        <v/>
      </c>
    </row>
    <row r="60">
      <c r="A60" t="inlineStr">
        <is>
          <t>c_need_CZK</t>
        </is>
      </c>
      <c r="B60">
        <f>AND(c_eur_on,OR(sa_currency="CZK",sb_currency="CZK"))</f>
        <v/>
      </c>
      <c r="D60">
        <f>IF(59&gt;c_period_count,"",IF(c_inst=1,(c_first_gy+58)&amp;"/"&amp;RIGHT(c_first_gy+59,2),IF(c_inst=2,(c_first_gy+INT(58/4))&amp;" Q"&amp;(MOD(58,4)+1),(c_first_gy+INT(58/12))&amp;"-"&amp;RIGHT("0"&amp;(MOD(58,12)+1),2))))</f>
        <v/>
      </c>
    </row>
    <row r="61">
      <c r="A61" t="inlineStr">
        <is>
          <t>c_need_HUF</t>
        </is>
      </c>
      <c r="B61">
        <f>AND(c_eur_on,OR(sa_currency="HUF",sb_currency="HUF"))</f>
        <v/>
      </c>
      <c r="D61">
        <f>IF(60&gt;c_period_count,"",IF(c_inst=1,(c_first_gy+59)&amp;"/"&amp;RIGHT(c_first_gy+60,2),IF(c_inst=2,(c_first_gy+INT(59/4))&amp;" Q"&amp;(MOD(59,4)+1),(c_first_gy+INT(59/12))&amp;"-"&amp;RIGHT("0"&amp;(MOD(59,12)+1),2))))</f>
        <v/>
      </c>
    </row>
    <row r="62">
      <c r="A62" t="inlineStr">
        <is>
          <t>c_need_PLN</t>
        </is>
      </c>
      <c r="B62">
        <f>AND(c_eur_on,OR(sa_currency="PLN",sb_currency="PLN"))</f>
        <v/>
      </c>
      <c r="D62">
        <f>IF(61&gt;c_period_count,"",IF(c_inst=1,(c_first_gy+60)&amp;"/"&amp;RIGHT(c_first_gy+61,2),IF(c_inst=2,(c_first_gy+INT(60/4))&amp;" Q"&amp;(MOD(60,4)+1),(c_first_gy+INT(60/12))&amp;"-"&amp;RIGHT("0"&amp;(MOD(60,12)+1),2))))</f>
        <v/>
      </c>
    </row>
    <row r="63">
      <c r="A63" t="inlineStr">
        <is>
          <t>c_need_RON</t>
        </is>
      </c>
      <c r="B63">
        <f>AND(c_eur_on,OR(sa_currency="RON",sb_currency="RON"))</f>
        <v/>
      </c>
      <c r="D63">
        <f>IF(62&gt;c_period_count,"",IF(c_inst=1,(c_first_gy+61)&amp;"/"&amp;RIGHT(c_first_gy+62,2),IF(c_inst=2,(c_first_gy+INT(61/4))&amp;" Q"&amp;(MOD(61,4)+1),(c_first_gy+INT(61/12))&amp;"-"&amp;RIGHT("0"&amp;(MOD(61,12)+1),2))))</f>
        <v/>
      </c>
    </row>
    <row r="64">
      <c r="D64">
        <f>IF(63&gt;c_period_count,"",IF(c_inst=1,(c_first_gy+62)&amp;"/"&amp;RIGHT(c_first_gy+63,2),IF(c_inst=2,(c_first_gy+INT(62/4))&amp;" Q"&amp;(MOD(62,4)+1),(c_first_gy+INT(62/12))&amp;"-"&amp;RIGHT("0"&amp;(MOD(62,12)+1),2))))</f>
        <v/>
      </c>
    </row>
    <row r="65">
      <c r="D65">
        <f>IF(64&gt;c_period_count,"",IF(c_inst=1,(c_first_gy+63)&amp;"/"&amp;RIGHT(c_first_gy+64,2),IF(c_inst=2,(c_first_gy+INT(63/4))&amp;" Q"&amp;(MOD(63,4)+1),(c_first_gy+INT(63/12))&amp;"-"&amp;RIGHT("0"&amp;(MOD(63,12)+1),2))))</f>
        <v/>
      </c>
    </row>
    <row r="66">
      <c r="D66">
        <f>IF(65&gt;c_period_count,"",IF(c_inst=1,(c_first_gy+64)&amp;"/"&amp;RIGHT(c_first_gy+65,2),IF(c_inst=2,(c_first_gy+INT(64/4))&amp;" Q"&amp;(MOD(64,4)+1),(c_first_gy+INT(64/12))&amp;"-"&amp;RIGHT("0"&amp;(MOD(64,12)+1),2))))</f>
        <v/>
      </c>
    </row>
    <row r="67">
      <c r="D67">
        <f>IF(66&gt;c_period_count,"",IF(c_inst=1,(c_first_gy+65)&amp;"/"&amp;RIGHT(c_first_gy+66,2),IF(c_inst=2,(c_first_gy+INT(65/4))&amp;" Q"&amp;(MOD(65,4)+1),(c_first_gy+INT(65/12))&amp;"-"&amp;RIGHT("0"&amp;(MOD(65,12)+1),2))))</f>
        <v/>
      </c>
    </row>
    <row r="68">
      <c r="D68">
        <f>IF(67&gt;c_period_count,"",IF(c_inst=1,(c_first_gy+66)&amp;"/"&amp;RIGHT(c_first_gy+67,2),IF(c_inst=2,(c_first_gy+INT(66/4))&amp;" Q"&amp;(MOD(66,4)+1),(c_first_gy+INT(66/12))&amp;"-"&amp;RIGHT("0"&amp;(MOD(66,12)+1),2))))</f>
        <v/>
      </c>
    </row>
    <row r="69">
      <c r="D69">
        <f>IF(68&gt;c_period_count,"",IF(c_inst=1,(c_first_gy+67)&amp;"/"&amp;RIGHT(c_first_gy+68,2),IF(c_inst=2,(c_first_gy+INT(67/4))&amp;" Q"&amp;(MOD(67,4)+1),(c_first_gy+INT(67/12))&amp;"-"&amp;RIGHT("0"&amp;(MOD(67,12)+1),2))))</f>
        <v/>
      </c>
    </row>
    <row r="70">
      <c r="D70">
        <f>IF(69&gt;c_period_count,"",IF(c_inst=1,(c_first_gy+68)&amp;"/"&amp;RIGHT(c_first_gy+69,2),IF(c_inst=2,(c_first_gy+INT(68/4))&amp;" Q"&amp;(MOD(68,4)+1),(c_first_gy+INT(68/12))&amp;"-"&amp;RIGHT("0"&amp;(MOD(68,12)+1),2))))</f>
        <v/>
      </c>
    </row>
    <row r="71">
      <c r="D71">
        <f>IF(70&gt;c_period_count,"",IF(c_inst=1,(c_first_gy+69)&amp;"/"&amp;RIGHT(c_first_gy+70,2),IF(c_inst=2,(c_first_gy+INT(69/4))&amp;" Q"&amp;(MOD(69,4)+1),(c_first_gy+INT(69/12))&amp;"-"&amp;RIGHT("0"&amp;(MOD(69,12)+1),2))))</f>
        <v/>
      </c>
    </row>
    <row r="72">
      <c r="D72">
        <f>IF(71&gt;c_period_count,"",IF(c_inst=1,(c_first_gy+70)&amp;"/"&amp;RIGHT(c_first_gy+71,2),IF(c_inst=2,(c_first_gy+INT(70/4))&amp;" Q"&amp;(MOD(70,4)+1),(c_first_gy+INT(70/12))&amp;"-"&amp;RIGHT("0"&amp;(MOD(70,12)+1),2))))</f>
        <v/>
      </c>
    </row>
    <row r="73">
      <c r="D73">
        <f>IF(72&gt;c_period_count,"",IF(c_inst=1,(c_first_gy+71)&amp;"/"&amp;RIGHT(c_first_gy+72,2),IF(c_inst=2,(c_first_gy+INT(71/4))&amp;" Q"&amp;(MOD(71,4)+1),(c_first_gy+INT(71/12))&amp;"-"&amp;RIGHT("0"&amp;(MOD(71,12)+1),2))))</f>
        <v/>
      </c>
    </row>
    <row r="74">
      <c r="D74">
        <f>IF(73&gt;c_period_count,"",IF(c_inst=1,(c_first_gy+72)&amp;"/"&amp;RIGHT(c_first_gy+73,2),IF(c_inst=2,(c_first_gy+INT(72/4))&amp;" Q"&amp;(MOD(72,4)+1),(c_first_gy+INT(72/12))&amp;"-"&amp;RIGHT("0"&amp;(MOD(72,12)+1),2))))</f>
        <v/>
      </c>
    </row>
    <row r="75">
      <c r="D75">
        <f>IF(74&gt;c_period_count,"",IF(c_inst=1,(c_first_gy+73)&amp;"/"&amp;RIGHT(c_first_gy+74,2),IF(c_inst=2,(c_first_gy+INT(73/4))&amp;" Q"&amp;(MOD(73,4)+1),(c_first_gy+INT(73/12))&amp;"-"&amp;RIGHT("0"&amp;(MOD(73,12)+1),2))))</f>
        <v/>
      </c>
    </row>
    <row r="76">
      <c r="D76">
        <f>IF(75&gt;c_period_count,"",IF(c_inst=1,(c_first_gy+74)&amp;"/"&amp;RIGHT(c_first_gy+75,2),IF(c_inst=2,(c_first_gy+INT(74/4))&amp;" Q"&amp;(MOD(74,4)+1),(c_first_gy+INT(74/12))&amp;"-"&amp;RIGHT("0"&amp;(MOD(74,12)+1),2))))</f>
        <v/>
      </c>
    </row>
    <row r="77">
      <c r="D77">
        <f>IF(76&gt;c_period_count,"",IF(c_inst=1,(c_first_gy+75)&amp;"/"&amp;RIGHT(c_first_gy+76,2),IF(c_inst=2,(c_first_gy+INT(75/4))&amp;" Q"&amp;(MOD(75,4)+1),(c_first_gy+INT(75/12))&amp;"-"&amp;RIGHT("0"&amp;(MOD(75,12)+1),2))))</f>
        <v/>
      </c>
    </row>
    <row r="78">
      <c r="D78">
        <f>IF(77&gt;c_period_count,"",IF(c_inst=1,(c_first_gy+76)&amp;"/"&amp;RIGHT(c_first_gy+77,2),IF(c_inst=2,(c_first_gy+INT(76/4))&amp;" Q"&amp;(MOD(76,4)+1),(c_first_gy+INT(76/12))&amp;"-"&amp;RIGHT("0"&amp;(MOD(76,12)+1),2))))</f>
        <v/>
      </c>
    </row>
    <row r="79">
      <c r="D79">
        <f>IF(78&gt;c_period_count,"",IF(c_inst=1,(c_first_gy+77)&amp;"/"&amp;RIGHT(c_first_gy+78,2),IF(c_inst=2,(c_first_gy+INT(77/4))&amp;" Q"&amp;(MOD(77,4)+1),(c_first_gy+INT(77/12))&amp;"-"&amp;RIGHT("0"&amp;(MOD(77,12)+1),2))))</f>
        <v/>
      </c>
    </row>
    <row r="80">
      <c r="D80">
        <f>IF(79&gt;c_period_count,"",IF(c_inst=1,(c_first_gy+78)&amp;"/"&amp;RIGHT(c_first_gy+79,2),IF(c_inst=2,(c_first_gy+INT(78/4))&amp;" Q"&amp;(MOD(78,4)+1),(c_first_gy+INT(78/12))&amp;"-"&amp;RIGHT("0"&amp;(MOD(78,12)+1),2))))</f>
        <v/>
      </c>
    </row>
    <row r="81">
      <c r="D81">
        <f>IF(80&gt;c_period_count,"",IF(c_inst=1,(c_first_gy+79)&amp;"/"&amp;RIGHT(c_first_gy+80,2),IF(c_inst=2,(c_first_gy+INT(79/4))&amp;" Q"&amp;(MOD(79,4)+1),(c_first_gy+INT(79/12))&amp;"-"&amp;RIGHT("0"&amp;(MOD(79,12)+1),2))))</f>
        <v/>
      </c>
    </row>
    <row r="82">
      <c r="D82">
        <f>IF(81&gt;c_period_count,"",IF(c_inst=1,(c_first_gy+80)&amp;"/"&amp;RIGHT(c_first_gy+81,2),IF(c_inst=2,(c_first_gy+INT(80/4))&amp;" Q"&amp;(MOD(80,4)+1),(c_first_gy+INT(80/12))&amp;"-"&amp;RIGHT("0"&amp;(MOD(80,12)+1),2))))</f>
        <v/>
      </c>
    </row>
    <row r="83">
      <c r="D83">
        <f>IF(82&gt;c_period_count,"",IF(c_inst=1,(c_first_gy+81)&amp;"/"&amp;RIGHT(c_first_gy+82,2),IF(c_inst=2,(c_first_gy+INT(81/4))&amp;" Q"&amp;(MOD(81,4)+1),(c_first_gy+INT(81/12))&amp;"-"&amp;RIGHT("0"&amp;(MOD(81,12)+1),2))))</f>
        <v/>
      </c>
    </row>
    <row r="84">
      <c r="D84">
        <f>IF(83&gt;c_period_count,"",IF(c_inst=1,(c_first_gy+82)&amp;"/"&amp;RIGHT(c_first_gy+83,2),IF(c_inst=2,(c_first_gy+INT(82/4))&amp;" Q"&amp;(MOD(82,4)+1),(c_first_gy+INT(82/12))&amp;"-"&amp;RIGHT("0"&amp;(MOD(82,12)+1),2))))</f>
        <v/>
      </c>
    </row>
    <row r="85">
      <c r="D85">
        <f>IF(84&gt;c_period_count,"",IF(c_inst=1,(c_first_gy+83)&amp;"/"&amp;RIGHT(c_first_gy+84,2),IF(c_inst=2,(c_first_gy+INT(83/4))&amp;" Q"&amp;(MOD(83,4)+1),(c_first_gy+INT(83/12))&amp;"-"&amp;RIGHT("0"&amp;(MOD(83,12)+1),2))))</f>
        <v/>
      </c>
    </row>
    <row r="86">
      <c r="D86">
        <f>IF(85&gt;c_period_count,"",IF(c_inst=1,(c_first_gy+84)&amp;"/"&amp;RIGHT(c_first_gy+85,2),IF(c_inst=2,(c_first_gy+INT(84/4))&amp;" Q"&amp;(MOD(84,4)+1),(c_first_gy+INT(84/12))&amp;"-"&amp;RIGHT("0"&amp;(MOD(84,12)+1),2))))</f>
        <v/>
      </c>
    </row>
    <row r="87">
      <c r="D87">
        <f>IF(86&gt;c_period_count,"",IF(c_inst=1,(c_first_gy+85)&amp;"/"&amp;RIGHT(c_first_gy+86,2),IF(c_inst=2,(c_first_gy+INT(85/4))&amp;" Q"&amp;(MOD(85,4)+1),(c_first_gy+INT(85/12))&amp;"-"&amp;RIGHT("0"&amp;(MOD(85,12)+1),2))))</f>
        <v/>
      </c>
    </row>
    <row r="88">
      <c r="D88">
        <f>IF(87&gt;c_period_count,"",IF(c_inst=1,(c_first_gy+86)&amp;"/"&amp;RIGHT(c_first_gy+87,2),IF(c_inst=2,(c_first_gy+INT(86/4))&amp;" Q"&amp;(MOD(86,4)+1),(c_first_gy+INT(86/12))&amp;"-"&amp;RIGHT("0"&amp;(MOD(86,12)+1),2))))</f>
        <v/>
      </c>
    </row>
    <row r="89">
      <c r="D89">
        <f>IF(88&gt;c_period_count,"",IF(c_inst=1,(c_first_gy+87)&amp;"/"&amp;RIGHT(c_first_gy+88,2),IF(c_inst=2,(c_first_gy+INT(87/4))&amp;" Q"&amp;(MOD(87,4)+1),(c_first_gy+INT(87/12))&amp;"-"&amp;RIGHT("0"&amp;(MOD(87,12)+1),2))))</f>
        <v/>
      </c>
    </row>
    <row r="90">
      <c r="D90">
        <f>IF(89&gt;c_period_count,"",IF(c_inst=1,(c_first_gy+88)&amp;"/"&amp;RIGHT(c_first_gy+89,2),IF(c_inst=2,(c_first_gy+INT(88/4))&amp;" Q"&amp;(MOD(88,4)+1),(c_first_gy+INT(88/12))&amp;"-"&amp;RIGHT("0"&amp;(MOD(88,12)+1),2))))</f>
        <v/>
      </c>
    </row>
    <row r="91">
      <c r="D91">
        <f>IF(90&gt;c_period_count,"",IF(c_inst=1,(c_first_gy+89)&amp;"/"&amp;RIGHT(c_first_gy+90,2),IF(c_inst=2,(c_first_gy+INT(89/4))&amp;" Q"&amp;(MOD(89,4)+1),(c_first_gy+INT(89/12))&amp;"-"&amp;RIGHT("0"&amp;(MOD(89,12)+1),2))))</f>
        <v/>
      </c>
    </row>
    <row r="92">
      <c r="D92">
        <f>IF(91&gt;c_period_count,"",IF(c_inst=1,(c_first_gy+90)&amp;"/"&amp;RIGHT(c_first_gy+91,2),IF(c_inst=2,(c_first_gy+INT(90/4))&amp;" Q"&amp;(MOD(90,4)+1),(c_first_gy+INT(90/12))&amp;"-"&amp;RIGHT("0"&amp;(MOD(90,12)+1),2))))</f>
        <v/>
      </c>
    </row>
    <row r="93">
      <c r="D93">
        <f>IF(92&gt;c_period_count,"",IF(c_inst=1,(c_first_gy+91)&amp;"/"&amp;RIGHT(c_first_gy+92,2),IF(c_inst=2,(c_first_gy+INT(91/4))&amp;" Q"&amp;(MOD(91,4)+1),(c_first_gy+INT(91/12))&amp;"-"&amp;RIGHT("0"&amp;(MOD(91,12)+1),2))))</f>
        <v/>
      </c>
    </row>
    <row r="94">
      <c r="D94">
        <f>IF(93&gt;c_period_count,"",IF(c_inst=1,(c_first_gy+92)&amp;"/"&amp;RIGHT(c_first_gy+93,2),IF(c_inst=2,(c_first_gy+INT(92/4))&amp;" Q"&amp;(MOD(92,4)+1),(c_first_gy+INT(92/12))&amp;"-"&amp;RIGHT("0"&amp;(MOD(92,12)+1),2))))</f>
        <v/>
      </c>
    </row>
    <row r="95">
      <c r="D95">
        <f>IF(94&gt;c_period_count,"",IF(c_inst=1,(c_first_gy+93)&amp;"/"&amp;RIGHT(c_first_gy+94,2),IF(c_inst=2,(c_first_gy+INT(93/4))&amp;" Q"&amp;(MOD(93,4)+1),(c_first_gy+INT(93/12))&amp;"-"&amp;RIGHT("0"&amp;(MOD(93,12)+1),2))))</f>
        <v/>
      </c>
    </row>
    <row r="96">
      <c r="D96">
        <f>IF(95&gt;c_period_count,"",IF(c_inst=1,(c_first_gy+94)&amp;"/"&amp;RIGHT(c_first_gy+95,2),IF(c_inst=2,(c_first_gy+INT(94/4))&amp;" Q"&amp;(MOD(94,4)+1),(c_first_gy+INT(94/12))&amp;"-"&amp;RIGHT("0"&amp;(MOD(94,12)+1),2))))</f>
        <v/>
      </c>
    </row>
    <row r="97">
      <c r="D97">
        <f>IF(96&gt;c_period_count,"",IF(c_inst=1,(c_first_gy+95)&amp;"/"&amp;RIGHT(c_first_gy+96,2),IF(c_inst=2,(c_first_gy+INT(95/4))&amp;" Q"&amp;(MOD(95,4)+1),(c_first_gy+INT(95/12))&amp;"-"&amp;RIGHT("0"&amp;(MOD(95,12)+1),2))))</f>
        <v/>
      </c>
    </row>
    <row r="98">
      <c r="D98">
        <f>IF(97&gt;c_period_count,"",IF(c_inst=1,(c_first_gy+96)&amp;"/"&amp;RIGHT(c_first_gy+97,2),IF(c_inst=2,(c_first_gy+INT(96/4))&amp;" Q"&amp;(MOD(96,4)+1),(c_first_gy+INT(96/12))&amp;"-"&amp;RIGHT("0"&amp;(MOD(96,12)+1),2))))</f>
        <v/>
      </c>
    </row>
    <row r="99">
      <c r="D99">
        <f>IF(98&gt;c_period_count,"",IF(c_inst=1,(c_first_gy+97)&amp;"/"&amp;RIGHT(c_first_gy+98,2),IF(c_inst=2,(c_first_gy+INT(97/4))&amp;" Q"&amp;(MOD(97,4)+1),(c_first_gy+INT(97/12))&amp;"-"&amp;RIGHT("0"&amp;(MOD(97,12)+1),2))))</f>
        <v/>
      </c>
    </row>
    <row r="100">
      <c r="D100">
        <f>IF(99&gt;c_period_count,"",IF(c_inst=1,(c_first_gy+98)&amp;"/"&amp;RIGHT(c_first_gy+99,2),IF(c_inst=2,(c_first_gy+INT(98/4))&amp;" Q"&amp;(MOD(98,4)+1),(c_first_gy+INT(98/12))&amp;"-"&amp;RIGHT("0"&amp;(MOD(98,12)+1),2))))</f>
        <v/>
      </c>
    </row>
    <row r="101">
      <c r="D101">
        <f>IF(100&gt;c_period_count,"",IF(c_inst=1,(c_first_gy+99)&amp;"/"&amp;RIGHT(c_first_gy+100,2),IF(c_inst=2,(c_first_gy+INT(99/4))&amp;" Q"&amp;(MOD(99,4)+1),(c_first_gy+INT(99/12))&amp;"-"&amp;RIGHT("0"&amp;(MOD(99,12)+1),2))))</f>
        <v/>
      </c>
    </row>
    <row r="102">
      <c r="D102">
        <f>IF(101&gt;c_period_count,"",IF(c_inst=1,(c_first_gy+100)&amp;"/"&amp;RIGHT(c_first_gy+101,2),IF(c_inst=2,(c_first_gy+INT(100/4))&amp;" Q"&amp;(MOD(100,4)+1),(c_first_gy+INT(100/12))&amp;"-"&amp;RIGHT("0"&amp;(MOD(100,12)+1),2))))</f>
        <v/>
      </c>
    </row>
    <row r="103">
      <c r="D103">
        <f>IF(102&gt;c_period_count,"",IF(c_inst=1,(c_first_gy+101)&amp;"/"&amp;RIGHT(c_first_gy+102,2),IF(c_inst=2,(c_first_gy+INT(101/4))&amp;" Q"&amp;(MOD(101,4)+1),(c_first_gy+INT(101/12))&amp;"-"&amp;RIGHT("0"&amp;(MOD(101,12)+1),2))))</f>
        <v/>
      </c>
    </row>
    <row r="104">
      <c r="D104">
        <f>IF(103&gt;c_period_count,"",IF(c_inst=1,(c_first_gy+102)&amp;"/"&amp;RIGHT(c_first_gy+103,2),IF(c_inst=2,(c_first_gy+INT(102/4))&amp;" Q"&amp;(MOD(102,4)+1),(c_first_gy+INT(102/12))&amp;"-"&amp;RIGHT("0"&amp;(MOD(102,12)+1),2))))</f>
        <v/>
      </c>
    </row>
    <row r="105">
      <c r="D105">
        <f>IF(104&gt;c_period_count,"",IF(c_inst=1,(c_first_gy+103)&amp;"/"&amp;RIGHT(c_first_gy+104,2),IF(c_inst=2,(c_first_gy+INT(103/4))&amp;" Q"&amp;(MOD(103,4)+1),(c_first_gy+INT(103/12))&amp;"-"&amp;RIGHT("0"&amp;(MOD(103,12)+1),2))))</f>
        <v/>
      </c>
    </row>
    <row r="106">
      <c r="D106">
        <f>IF(105&gt;c_period_count,"",IF(c_inst=1,(c_first_gy+104)&amp;"/"&amp;RIGHT(c_first_gy+105,2),IF(c_inst=2,(c_first_gy+INT(104/4))&amp;" Q"&amp;(MOD(104,4)+1),(c_first_gy+INT(104/12))&amp;"-"&amp;RIGHT("0"&amp;(MOD(104,12)+1),2))))</f>
        <v/>
      </c>
    </row>
    <row r="107">
      <c r="D107">
        <f>IF(106&gt;c_period_count,"",IF(c_inst=1,(c_first_gy+105)&amp;"/"&amp;RIGHT(c_first_gy+106,2),IF(c_inst=2,(c_first_gy+INT(105/4))&amp;" Q"&amp;(MOD(105,4)+1),(c_first_gy+INT(105/12))&amp;"-"&amp;RIGHT("0"&amp;(MOD(105,12)+1),2))))</f>
        <v/>
      </c>
    </row>
    <row r="108">
      <c r="D108">
        <f>IF(107&gt;c_period_count,"",IF(c_inst=1,(c_first_gy+106)&amp;"/"&amp;RIGHT(c_first_gy+107,2),IF(c_inst=2,(c_first_gy+INT(106/4))&amp;" Q"&amp;(MOD(106,4)+1),(c_first_gy+INT(106/12))&amp;"-"&amp;RIGHT("0"&amp;(MOD(106,12)+1),2))))</f>
        <v/>
      </c>
    </row>
    <row r="109">
      <c r="D109">
        <f>IF(108&gt;c_period_count,"",IF(c_inst=1,(c_first_gy+107)&amp;"/"&amp;RIGHT(c_first_gy+108,2),IF(c_inst=2,(c_first_gy+INT(107/4))&amp;" Q"&amp;(MOD(107,4)+1),(c_first_gy+INT(107/12))&amp;"-"&amp;RIGHT("0"&amp;(MOD(107,12)+1),2))))</f>
        <v/>
      </c>
    </row>
    <row r="110">
      <c r="D110">
        <f>IF(109&gt;c_period_count,"",IF(c_inst=1,(c_first_gy+108)&amp;"/"&amp;RIGHT(c_first_gy+109,2),IF(c_inst=2,(c_first_gy+INT(108/4))&amp;" Q"&amp;(MOD(108,4)+1),(c_first_gy+INT(108/12))&amp;"-"&amp;RIGHT("0"&amp;(MOD(108,12)+1),2))))</f>
        <v/>
      </c>
    </row>
    <row r="111">
      <c r="D111">
        <f>IF(110&gt;c_period_count,"",IF(c_inst=1,(c_first_gy+109)&amp;"/"&amp;RIGHT(c_first_gy+110,2),IF(c_inst=2,(c_first_gy+INT(109/4))&amp;" Q"&amp;(MOD(109,4)+1),(c_first_gy+INT(109/12))&amp;"-"&amp;RIGHT("0"&amp;(MOD(109,12)+1),2))))</f>
        <v/>
      </c>
    </row>
    <row r="112">
      <c r="D112">
        <f>IF(111&gt;c_period_count,"",IF(c_inst=1,(c_first_gy+110)&amp;"/"&amp;RIGHT(c_first_gy+111,2),IF(c_inst=2,(c_first_gy+INT(110/4))&amp;" Q"&amp;(MOD(110,4)+1),(c_first_gy+INT(110/12))&amp;"-"&amp;RIGHT("0"&amp;(MOD(110,12)+1),2))))</f>
        <v/>
      </c>
    </row>
    <row r="113">
      <c r="D113">
        <f>IF(112&gt;c_period_count,"",IF(c_inst=1,(c_first_gy+111)&amp;"/"&amp;RIGHT(c_first_gy+112,2),IF(c_inst=2,(c_first_gy+INT(111/4))&amp;" Q"&amp;(MOD(111,4)+1),(c_first_gy+INT(111/12))&amp;"-"&amp;RIGHT("0"&amp;(MOD(111,12)+1),2))))</f>
        <v/>
      </c>
    </row>
    <row r="114">
      <c r="D114">
        <f>IF(113&gt;c_period_count,"",IF(c_inst=1,(c_first_gy+112)&amp;"/"&amp;RIGHT(c_first_gy+113,2),IF(c_inst=2,(c_first_gy+INT(112/4))&amp;" Q"&amp;(MOD(112,4)+1),(c_first_gy+INT(112/12))&amp;"-"&amp;RIGHT("0"&amp;(MOD(112,12)+1),2))))</f>
        <v/>
      </c>
    </row>
    <row r="115">
      <c r="D115">
        <f>IF(114&gt;c_period_count,"",IF(c_inst=1,(c_first_gy+113)&amp;"/"&amp;RIGHT(c_first_gy+114,2),IF(c_inst=2,(c_first_gy+INT(113/4))&amp;" Q"&amp;(MOD(113,4)+1),(c_first_gy+INT(113/12))&amp;"-"&amp;RIGHT("0"&amp;(MOD(113,12)+1),2))))</f>
        <v/>
      </c>
    </row>
    <row r="116">
      <c r="D116">
        <f>IF(115&gt;c_period_count,"",IF(c_inst=1,(c_first_gy+114)&amp;"/"&amp;RIGHT(c_first_gy+115,2),IF(c_inst=2,(c_first_gy+INT(114/4))&amp;" Q"&amp;(MOD(114,4)+1),(c_first_gy+INT(114/12))&amp;"-"&amp;RIGHT("0"&amp;(MOD(114,12)+1),2))))</f>
        <v/>
      </c>
    </row>
    <row r="117">
      <c r="D117">
        <f>IF(116&gt;c_period_count,"",IF(c_inst=1,(c_first_gy+115)&amp;"/"&amp;RIGHT(c_first_gy+116,2),IF(c_inst=2,(c_first_gy+INT(115/4))&amp;" Q"&amp;(MOD(115,4)+1),(c_first_gy+INT(115/12))&amp;"-"&amp;RIGHT("0"&amp;(MOD(115,12)+1),2))))</f>
        <v/>
      </c>
    </row>
    <row r="118">
      <c r="D118">
        <f>IF(117&gt;c_period_count,"",IF(c_inst=1,(c_first_gy+116)&amp;"/"&amp;RIGHT(c_first_gy+117,2),IF(c_inst=2,(c_first_gy+INT(116/4))&amp;" Q"&amp;(MOD(116,4)+1),(c_first_gy+INT(116/12))&amp;"-"&amp;RIGHT("0"&amp;(MOD(116,12)+1),2))))</f>
        <v/>
      </c>
    </row>
    <row r="119">
      <c r="D119">
        <f>IF(118&gt;c_period_count,"",IF(c_inst=1,(c_first_gy+117)&amp;"/"&amp;RIGHT(c_first_gy+118,2),IF(c_inst=2,(c_first_gy+INT(117/4))&amp;" Q"&amp;(MOD(117,4)+1),(c_first_gy+INT(117/12))&amp;"-"&amp;RIGHT("0"&amp;(MOD(117,12)+1),2))))</f>
        <v/>
      </c>
    </row>
    <row r="120">
      <c r="D120">
        <f>IF(119&gt;c_period_count,"",IF(c_inst=1,(c_first_gy+118)&amp;"/"&amp;RIGHT(c_first_gy+119,2),IF(c_inst=2,(c_first_gy+INT(118/4))&amp;" Q"&amp;(MOD(118,4)+1),(c_first_gy+INT(118/12))&amp;"-"&amp;RIGHT("0"&amp;(MOD(118,12)+1),2))))</f>
        <v/>
      </c>
    </row>
    <row r="121">
      <c r="D121">
        <f>IF(120&gt;c_period_count,"",IF(c_inst=1,(c_first_gy+119)&amp;"/"&amp;RIGHT(c_first_gy+120,2),IF(c_inst=2,(c_first_gy+INT(119/4))&amp;" Q"&amp;(MOD(119,4)+1),(c_first_gy+INT(119/12))&amp;"-"&amp;RIGHT("0"&amp;(MOD(119,12)+1),2))))</f>
        <v/>
      </c>
    </row>
    <row r="122">
      <c r="D122">
        <f>IF(121&gt;c_period_count,"",IF(c_inst=1,(c_first_gy+120)&amp;"/"&amp;RIGHT(c_first_gy+121,2),IF(c_inst=2,(c_first_gy+INT(120/4))&amp;" Q"&amp;(MOD(120,4)+1),(c_first_gy+INT(120/12))&amp;"-"&amp;RIGHT("0"&amp;(MOD(120,12)+1),2))))</f>
        <v/>
      </c>
    </row>
    <row r="123">
      <c r="D123">
        <f>IF(122&gt;c_period_count,"",IF(c_inst=1,(c_first_gy+121)&amp;"/"&amp;RIGHT(c_first_gy+122,2),IF(c_inst=2,(c_first_gy+INT(121/4))&amp;" Q"&amp;(MOD(121,4)+1),(c_first_gy+INT(121/12))&amp;"-"&amp;RIGHT("0"&amp;(MOD(121,12)+1),2))))</f>
        <v/>
      </c>
    </row>
    <row r="124">
      <c r="D124">
        <f>IF(123&gt;c_period_count,"",IF(c_inst=1,(c_first_gy+122)&amp;"/"&amp;RIGHT(c_first_gy+123,2),IF(c_inst=2,(c_first_gy+INT(122/4))&amp;" Q"&amp;(MOD(122,4)+1),(c_first_gy+INT(122/12))&amp;"-"&amp;RIGHT("0"&amp;(MOD(122,12)+1),2))))</f>
        <v/>
      </c>
    </row>
    <row r="125">
      <c r="D125">
        <f>IF(124&gt;c_period_count,"",IF(c_inst=1,(c_first_gy+123)&amp;"/"&amp;RIGHT(c_first_gy+124,2),IF(c_inst=2,(c_first_gy+INT(123/4))&amp;" Q"&amp;(MOD(123,4)+1),(c_first_gy+INT(123/12))&amp;"-"&amp;RIGHT("0"&amp;(MOD(123,12)+1),2))))</f>
        <v/>
      </c>
    </row>
    <row r="126">
      <c r="D126">
        <f>IF(125&gt;c_period_count,"",IF(c_inst=1,(c_first_gy+124)&amp;"/"&amp;RIGHT(c_first_gy+125,2),IF(c_inst=2,(c_first_gy+INT(124/4))&amp;" Q"&amp;(MOD(124,4)+1),(c_first_gy+INT(124/12))&amp;"-"&amp;RIGHT("0"&amp;(MOD(124,12)+1),2))))</f>
        <v/>
      </c>
    </row>
    <row r="127">
      <c r="D127">
        <f>IF(126&gt;c_period_count,"",IF(c_inst=1,(c_first_gy+125)&amp;"/"&amp;RIGHT(c_first_gy+126,2),IF(c_inst=2,(c_first_gy+INT(125/4))&amp;" Q"&amp;(MOD(125,4)+1),(c_first_gy+INT(125/12))&amp;"-"&amp;RIGHT("0"&amp;(MOD(125,12)+1),2))))</f>
        <v/>
      </c>
    </row>
    <row r="128">
      <c r="D128">
        <f>IF(127&gt;c_period_count,"",IF(c_inst=1,(c_first_gy+126)&amp;"/"&amp;RIGHT(c_first_gy+127,2),IF(c_inst=2,(c_first_gy+INT(126/4))&amp;" Q"&amp;(MOD(126,4)+1),(c_first_gy+INT(126/12))&amp;"-"&amp;RIGHT("0"&amp;(MOD(126,12)+1),2))))</f>
        <v/>
      </c>
    </row>
    <row r="129">
      <c r="D129">
        <f>IF(128&gt;c_period_count,"",IF(c_inst=1,(c_first_gy+127)&amp;"/"&amp;RIGHT(c_first_gy+128,2),IF(c_inst=2,(c_first_gy+INT(127/4))&amp;" Q"&amp;(MOD(127,4)+1),(c_first_gy+INT(127/12))&amp;"-"&amp;RIGHT("0"&amp;(MOD(127,12)+1),2))))</f>
        <v/>
      </c>
    </row>
    <row r="130">
      <c r="D130">
        <f>IF(129&gt;c_period_count,"",IF(c_inst=1,(c_first_gy+128)&amp;"/"&amp;RIGHT(c_first_gy+129,2),IF(c_inst=2,(c_first_gy+INT(128/4))&amp;" Q"&amp;(MOD(128,4)+1),(c_first_gy+INT(128/12))&amp;"-"&amp;RIGHT("0"&amp;(MOD(128,12)+1),2))))</f>
        <v/>
      </c>
    </row>
    <row r="131">
      <c r="D131">
        <f>IF(130&gt;c_period_count,"",IF(c_inst=1,(c_first_gy+129)&amp;"/"&amp;RIGHT(c_first_gy+130,2),IF(c_inst=2,(c_first_gy+INT(129/4))&amp;" Q"&amp;(MOD(129,4)+1),(c_first_gy+INT(129/12))&amp;"-"&amp;RIGHT("0"&amp;(MOD(129,12)+1),2))))</f>
        <v/>
      </c>
    </row>
    <row r="132">
      <c r="D132">
        <f>IF(131&gt;c_period_count,"",IF(c_inst=1,(c_first_gy+130)&amp;"/"&amp;RIGHT(c_first_gy+131,2),IF(c_inst=2,(c_first_gy+INT(130/4))&amp;" Q"&amp;(MOD(130,4)+1),(c_first_gy+INT(130/12))&amp;"-"&amp;RIGHT("0"&amp;(MOD(130,12)+1),2))))</f>
        <v/>
      </c>
    </row>
    <row r="133">
      <c r="D133">
        <f>IF(132&gt;c_period_count,"",IF(c_inst=1,(c_first_gy+131)&amp;"/"&amp;RIGHT(c_first_gy+132,2),IF(c_inst=2,(c_first_gy+INT(131/4))&amp;" Q"&amp;(MOD(131,4)+1),(c_first_gy+INT(131/12))&amp;"-"&amp;RIGHT("0"&amp;(MOD(131,12)+1),2))))</f>
        <v/>
      </c>
    </row>
    <row r="134">
      <c r="D134">
        <f>IF(133&gt;c_period_count,"",IF(c_inst=1,(c_first_gy+132)&amp;"/"&amp;RIGHT(c_first_gy+133,2),IF(c_inst=2,(c_first_gy+INT(132/4))&amp;" Q"&amp;(MOD(132,4)+1),(c_first_gy+INT(132/12))&amp;"-"&amp;RIGHT("0"&amp;(MOD(132,12)+1),2))))</f>
        <v/>
      </c>
    </row>
    <row r="135">
      <c r="D135">
        <f>IF(134&gt;c_period_count,"",IF(c_inst=1,(c_first_gy+133)&amp;"/"&amp;RIGHT(c_first_gy+134,2),IF(c_inst=2,(c_first_gy+INT(133/4))&amp;" Q"&amp;(MOD(133,4)+1),(c_first_gy+INT(133/12))&amp;"-"&amp;RIGHT("0"&amp;(MOD(133,12)+1),2))))</f>
        <v/>
      </c>
    </row>
    <row r="136">
      <c r="D136">
        <f>IF(135&gt;c_period_count,"",IF(c_inst=1,(c_first_gy+134)&amp;"/"&amp;RIGHT(c_first_gy+135,2),IF(c_inst=2,(c_first_gy+INT(134/4))&amp;" Q"&amp;(MOD(134,4)+1),(c_first_gy+INT(134/12))&amp;"-"&amp;RIGHT("0"&amp;(MOD(134,12)+1),2))))</f>
        <v/>
      </c>
    </row>
    <row r="137">
      <c r="D137">
        <f>IF(136&gt;c_period_count,"",IF(c_inst=1,(c_first_gy+135)&amp;"/"&amp;RIGHT(c_first_gy+136,2),IF(c_inst=2,(c_first_gy+INT(135/4))&amp;" Q"&amp;(MOD(135,4)+1),(c_first_gy+INT(135/12))&amp;"-"&amp;RIGHT("0"&amp;(MOD(135,12)+1),2))))</f>
        <v/>
      </c>
    </row>
    <row r="138">
      <c r="D138">
        <f>IF(137&gt;c_period_count,"",IF(c_inst=1,(c_first_gy+136)&amp;"/"&amp;RIGHT(c_first_gy+137,2),IF(c_inst=2,(c_first_gy+INT(136/4))&amp;" Q"&amp;(MOD(136,4)+1),(c_first_gy+INT(136/12))&amp;"-"&amp;RIGHT("0"&amp;(MOD(136,12)+1),2))))</f>
        <v/>
      </c>
    </row>
    <row r="139">
      <c r="D139">
        <f>IF(138&gt;c_period_count,"",IF(c_inst=1,(c_first_gy+137)&amp;"/"&amp;RIGHT(c_first_gy+138,2),IF(c_inst=2,(c_first_gy+INT(137/4))&amp;" Q"&amp;(MOD(137,4)+1),(c_first_gy+INT(137/12))&amp;"-"&amp;RIGHT("0"&amp;(MOD(137,12)+1),2))))</f>
        <v/>
      </c>
    </row>
    <row r="140">
      <c r="D140">
        <f>IF(139&gt;c_period_count,"",IF(c_inst=1,(c_first_gy+138)&amp;"/"&amp;RIGHT(c_first_gy+139,2),IF(c_inst=2,(c_first_gy+INT(138/4))&amp;" Q"&amp;(MOD(138,4)+1),(c_first_gy+INT(138/12))&amp;"-"&amp;RIGHT("0"&amp;(MOD(138,12)+1),2))))</f>
        <v/>
      </c>
    </row>
    <row r="141">
      <c r="D141">
        <f>IF(140&gt;c_period_count,"",IF(c_inst=1,(c_first_gy+139)&amp;"/"&amp;RIGHT(c_first_gy+140,2),IF(c_inst=2,(c_first_gy+INT(139/4))&amp;" Q"&amp;(MOD(139,4)+1),(c_first_gy+INT(139/12))&amp;"-"&amp;RIGHT("0"&amp;(MOD(139,12)+1),2))))</f>
        <v/>
      </c>
    </row>
    <row r="142">
      <c r="D142">
        <f>IF(141&gt;c_period_count,"",IF(c_inst=1,(c_first_gy+140)&amp;"/"&amp;RIGHT(c_first_gy+141,2),IF(c_inst=2,(c_first_gy+INT(140/4))&amp;" Q"&amp;(MOD(140,4)+1),(c_first_gy+INT(140/12))&amp;"-"&amp;RIGHT("0"&amp;(MOD(140,12)+1),2))))</f>
        <v/>
      </c>
    </row>
    <row r="143">
      <c r="D143">
        <f>IF(142&gt;c_period_count,"",IF(c_inst=1,(c_first_gy+141)&amp;"/"&amp;RIGHT(c_first_gy+142,2),IF(c_inst=2,(c_first_gy+INT(141/4))&amp;" Q"&amp;(MOD(141,4)+1),(c_first_gy+INT(141/12))&amp;"-"&amp;RIGHT("0"&amp;(MOD(141,12)+1),2))))</f>
        <v/>
      </c>
    </row>
    <row r="144">
      <c r="D144">
        <f>IF(143&gt;c_period_count,"",IF(c_inst=1,(c_first_gy+142)&amp;"/"&amp;RIGHT(c_first_gy+143,2),IF(c_inst=2,(c_first_gy+INT(142/4))&amp;" Q"&amp;(MOD(142,4)+1),(c_first_gy+INT(142/12))&amp;"-"&amp;RIGHT("0"&amp;(MOD(142,12)+1),2))))</f>
        <v/>
      </c>
    </row>
    <row r="145">
      <c r="D145">
        <f>IF(144&gt;c_period_count,"",IF(c_inst=1,(c_first_gy+143)&amp;"/"&amp;RIGHT(c_first_gy+144,2),IF(c_inst=2,(c_first_gy+INT(143/4))&amp;" Q"&amp;(MOD(143,4)+1),(c_first_gy+INT(143/12))&amp;"-"&amp;RIGHT("0"&amp;(MOD(143,12)+1),2))))</f>
        <v/>
      </c>
    </row>
    <row r="146">
      <c r="D146">
        <f>IF(145&gt;c_period_count,"",IF(c_inst=1,(c_first_gy+144)&amp;"/"&amp;RIGHT(c_first_gy+145,2),IF(c_inst=2,(c_first_gy+INT(144/4))&amp;" Q"&amp;(MOD(144,4)+1),(c_first_gy+INT(144/12))&amp;"-"&amp;RIGHT("0"&amp;(MOD(144,12)+1),2))))</f>
        <v/>
      </c>
    </row>
    <row r="147">
      <c r="D147">
        <f>IF(146&gt;c_period_count,"",IF(c_inst=1,(c_first_gy+145)&amp;"/"&amp;RIGHT(c_first_gy+146,2),IF(c_inst=2,(c_first_gy+INT(145/4))&amp;" Q"&amp;(MOD(145,4)+1),(c_first_gy+INT(145/12))&amp;"-"&amp;RIGHT("0"&amp;(MOD(145,12)+1),2))))</f>
        <v/>
      </c>
    </row>
    <row r="148">
      <c r="D148">
        <f>IF(147&gt;c_period_count,"",IF(c_inst=1,(c_first_gy+146)&amp;"/"&amp;RIGHT(c_first_gy+147,2),IF(c_inst=2,(c_first_gy+INT(146/4))&amp;" Q"&amp;(MOD(146,4)+1),(c_first_gy+INT(146/12))&amp;"-"&amp;RIGHT("0"&amp;(MOD(146,12)+1),2))))</f>
        <v/>
      </c>
    </row>
    <row r="149">
      <c r="D149">
        <f>IF(148&gt;c_period_count,"",IF(c_inst=1,(c_first_gy+147)&amp;"/"&amp;RIGHT(c_first_gy+148,2),IF(c_inst=2,(c_first_gy+INT(147/4))&amp;" Q"&amp;(MOD(147,4)+1),(c_first_gy+INT(147/12))&amp;"-"&amp;RIGHT("0"&amp;(MOD(147,12)+1),2))))</f>
        <v/>
      </c>
    </row>
    <row r="150">
      <c r="D150">
        <f>IF(149&gt;c_period_count,"",IF(c_inst=1,(c_first_gy+148)&amp;"/"&amp;RIGHT(c_first_gy+149,2),IF(c_inst=2,(c_first_gy+INT(148/4))&amp;" Q"&amp;(MOD(148,4)+1),(c_first_gy+INT(148/12))&amp;"-"&amp;RIGHT("0"&amp;(MOD(148,12)+1),2))))</f>
        <v/>
      </c>
    </row>
    <row r="151">
      <c r="D151">
        <f>IF(150&gt;c_period_count,"",IF(c_inst=1,(c_first_gy+149)&amp;"/"&amp;RIGHT(c_first_gy+150,2),IF(c_inst=2,(c_first_gy+INT(149/4))&amp;" Q"&amp;(MOD(149,4)+1),(c_first_gy+INT(149/12))&amp;"-"&amp;RIGHT("0"&amp;(MOD(149,12)+1),2))))</f>
        <v/>
      </c>
    </row>
    <row r="152">
      <c r="D152">
        <f>IF(151&gt;c_period_count,"",IF(c_inst=1,(c_first_gy+150)&amp;"/"&amp;RIGHT(c_first_gy+151,2),IF(c_inst=2,(c_first_gy+INT(150/4))&amp;" Q"&amp;(MOD(150,4)+1),(c_first_gy+INT(150/12))&amp;"-"&amp;RIGHT("0"&amp;(MOD(150,12)+1),2))))</f>
        <v/>
      </c>
    </row>
    <row r="153">
      <c r="D153">
        <f>IF(152&gt;c_period_count,"",IF(c_inst=1,(c_first_gy+151)&amp;"/"&amp;RIGHT(c_first_gy+152,2),IF(c_inst=2,(c_first_gy+INT(151/4))&amp;" Q"&amp;(MOD(151,4)+1),(c_first_gy+INT(151/12))&amp;"-"&amp;RIGHT("0"&amp;(MOD(151,12)+1),2))))</f>
        <v/>
      </c>
    </row>
    <row r="154">
      <c r="D154">
        <f>IF(153&gt;c_period_count,"",IF(c_inst=1,(c_first_gy+152)&amp;"/"&amp;RIGHT(c_first_gy+153,2),IF(c_inst=2,(c_first_gy+INT(152/4))&amp;" Q"&amp;(MOD(152,4)+1),(c_first_gy+INT(152/12))&amp;"-"&amp;RIGHT("0"&amp;(MOD(152,12)+1),2))))</f>
        <v/>
      </c>
    </row>
    <row r="155">
      <c r="D155">
        <f>IF(154&gt;c_period_count,"",IF(c_inst=1,(c_first_gy+153)&amp;"/"&amp;RIGHT(c_first_gy+154,2),IF(c_inst=2,(c_first_gy+INT(153/4))&amp;" Q"&amp;(MOD(153,4)+1),(c_first_gy+INT(153/12))&amp;"-"&amp;RIGHT("0"&amp;(MOD(153,12)+1),2))))</f>
        <v/>
      </c>
    </row>
    <row r="156">
      <c r="D156">
        <f>IF(155&gt;c_period_count,"",IF(c_inst=1,(c_first_gy+154)&amp;"/"&amp;RIGHT(c_first_gy+155,2),IF(c_inst=2,(c_first_gy+INT(154/4))&amp;" Q"&amp;(MOD(154,4)+1),(c_first_gy+INT(154/12))&amp;"-"&amp;RIGHT("0"&amp;(MOD(154,12)+1),2))))</f>
        <v/>
      </c>
    </row>
    <row r="157">
      <c r="D157">
        <f>IF(156&gt;c_period_count,"",IF(c_inst=1,(c_first_gy+155)&amp;"/"&amp;RIGHT(c_first_gy+156,2),IF(c_inst=2,(c_first_gy+INT(155/4))&amp;" Q"&amp;(MOD(155,4)+1),(c_first_gy+INT(155/12))&amp;"-"&amp;RIGHT("0"&amp;(MOD(155,12)+1),2))))</f>
        <v/>
      </c>
    </row>
    <row r="158">
      <c r="D158">
        <f>IF(157&gt;c_period_count,"",IF(c_inst=1,(c_first_gy+156)&amp;"/"&amp;RIGHT(c_first_gy+157,2),IF(c_inst=2,(c_first_gy+INT(156/4))&amp;" Q"&amp;(MOD(156,4)+1),(c_first_gy+INT(156/12))&amp;"-"&amp;RIGHT("0"&amp;(MOD(156,12)+1),2))))</f>
        <v/>
      </c>
    </row>
    <row r="159">
      <c r="D159">
        <f>IF(158&gt;c_period_count,"",IF(c_inst=1,(c_first_gy+157)&amp;"/"&amp;RIGHT(c_first_gy+158,2),IF(c_inst=2,(c_first_gy+INT(157/4))&amp;" Q"&amp;(MOD(157,4)+1),(c_first_gy+INT(157/12))&amp;"-"&amp;RIGHT("0"&amp;(MOD(157,12)+1),2))))</f>
        <v/>
      </c>
    </row>
    <row r="160">
      <c r="D160">
        <f>IF(159&gt;c_period_count,"",IF(c_inst=1,(c_first_gy+158)&amp;"/"&amp;RIGHT(c_first_gy+159,2),IF(c_inst=2,(c_first_gy+INT(158/4))&amp;" Q"&amp;(MOD(158,4)+1),(c_first_gy+INT(158/12))&amp;"-"&amp;RIGHT("0"&amp;(MOD(158,12)+1),2))))</f>
        <v/>
      </c>
    </row>
    <row r="161">
      <c r="D161">
        <f>IF(160&gt;c_period_count,"",IF(c_inst=1,(c_first_gy+159)&amp;"/"&amp;RIGHT(c_first_gy+160,2),IF(c_inst=2,(c_first_gy+INT(159/4))&amp;" Q"&amp;(MOD(159,4)+1),(c_first_gy+INT(159/12))&amp;"-"&amp;RIGHT("0"&amp;(MOD(159,12)+1),2))))</f>
        <v/>
      </c>
    </row>
    <row r="162">
      <c r="D162">
        <f>IF(161&gt;c_period_count,"",IF(c_inst=1,(c_first_gy+160)&amp;"/"&amp;RIGHT(c_first_gy+161,2),IF(c_inst=2,(c_first_gy+INT(160/4))&amp;" Q"&amp;(MOD(160,4)+1),(c_first_gy+INT(160/12))&amp;"-"&amp;RIGHT("0"&amp;(MOD(160,12)+1),2))))</f>
        <v/>
      </c>
    </row>
    <row r="163">
      <c r="D163">
        <f>IF(162&gt;c_period_count,"",IF(c_inst=1,(c_first_gy+161)&amp;"/"&amp;RIGHT(c_first_gy+162,2),IF(c_inst=2,(c_first_gy+INT(161/4))&amp;" Q"&amp;(MOD(161,4)+1),(c_first_gy+INT(161/12))&amp;"-"&amp;RIGHT("0"&amp;(MOD(161,12)+1),2))))</f>
        <v/>
      </c>
    </row>
    <row r="164">
      <c r="D164">
        <f>IF(163&gt;c_period_count,"",IF(c_inst=1,(c_first_gy+162)&amp;"/"&amp;RIGHT(c_first_gy+163,2),IF(c_inst=2,(c_first_gy+INT(162/4))&amp;" Q"&amp;(MOD(162,4)+1),(c_first_gy+INT(162/12))&amp;"-"&amp;RIGHT("0"&amp;(MOD(162,12)+1),2))))</f>
        <v/>
      </c>
    </row>
    <row r="165">
      <c r="D165">
        <f>IF(164&gt;c_period_count,"",IF(c_inst=1,(c_first_gy+163)&amp;"/"&amp;RIGHT(c_first_gy+164,2),IF(c_inst=2,(c_first_gy+INT(163/4))&amp;" Q"&amp;(MOD(163,4)+1),(c_first_gy+INT(163/12))&amp;"-"&amp;RIGHT("0"&amp;(MOD(163,12)+1),2))))</f>
        <v/>
      </c>
    </row>
    <row r="166">
      <c r="D166">
        <f>IF(165&gt;c_period_count,"",IF(c_inst=1,(c_first_gy+164)&amp;"/"&amp;RIGHT(c_first_gy+165,2),IF(c_inst=2,(c_first_gy+INT(164/4))&amp;" Q"&amp;(MOD(164,4)+1),(c_first_gy+INT(164/12))&amp;"-"&amp;RIGHT("0"&amp;(MOD(164,12)+1),2))))</f>
        <v/>
      </c>
    </row>
    <row r="167">
      <c r="D167">
        <f>IF(166&gt;c_period_count,"",IF(c_inst=1,(c_first_gy+165)&amp;"/"&amp;RIGHT(c_first_gy+166,2),IF(c_inst=2,(c_first_gy+INT(165/4))&amp;" Q"&amp;(MOD(165,4)+1),(c_first_gy+INT(165/12))&amp;"-"&amp;RIGHT("0"&amp;(MOD(165,12)+1),2))))</f>
        <v/>
      </c>
    </row>
    <row r="168">
      <c r="D168">
        <f>IF(167&gt;c_period_count,"",IF(c_inst=1,(c_first_gy+166)&amp;"/"&amp;RIGHT(c_first_gy+167,2),IF(c_inst=2,(c_first_gy+INT(166/4))&amp;" Q"&amp;(MOD(166,4)+1),(c_first_gy+INT(166/12))&amp;"-"&amp;RIGHT("0"&amp;(MOD(166,12)+1),2))))</f>
        <v/>
      </c>
    </row>
    <row r="169">
      <c r="D169">
        <f>IF(168&gt;c_period_count,"",IF(c_inst=1,(c_first_gy+167)&amp;"/"&amp;RIGHT(c_first_gy+168,2),IF(c_inst=2,(c_first_gy+INT(167/4))&amp;" Q"&amp;(MOD(167,4)+1),(c_first_gy+INT(167/12))&amp;"-"&amp;RIGHT("0"&amp;(MOD(167,12)+1),2))))</f>
        <v/>
      </c>
    </row>
    <row r="170">
      <c r="D170">
        <f>IF(169&gt;c_period_count,"",IF(c_inst=1,(c_first_gy+168)&amp;"/"&amp;RIGHT(c_first_gy+169,2),IF(c_inst=2,(c_first_gy+INT(168/4))&amp;" Q"&amp;(MOD(168,4)+1),(c_first_gy+INT(168/12))&amp;"-"&amp;RIGHT("0"&amp;(MOD(168,12)+1),2))))</f>
        <v/>
      </c>
    </row>
    <row r="171">
      <c r="D171">
        <f>IF(170&gt;c_period_count,"",IF(c_inst=1,(c_first_gy+169)&amp;"/"&amp;RIGHT(c_first_gy+170,2),IF(c_inst=2,(c_first_gy+INT(169/4))&amp;" Q"&amp;(MOD(169,4)+1),(c_first_gy+INT(169/12))&amp;"-"&amp;RIGHT("0"&amp;(MOD(169,12)+1),2))))</f>
        <v/>
      </c>
    </row>
    <row r="172">
      <c r="D172">
        <f>IF(171&gt;c_period_count,"",IF(c_inst=1,(c_first_gy+170)&amp;"/"&amp;RIGHT(c_first_gy+171,2),IF(c_inst=2,(c_first_gy+INT(170/4))&amp;" Q"&amp;(MOD(170,4)+1),(c_first_gy+INT(170/12))&amp;"-"&amp;RIGHT("0"&amp;(MOD(170,12)+1),2))))</f>
        <v/>
      </c>
    </row>
    <row r="173">
      <c r="D173">
        <f>IF(172&gt;c_period_count,"",IF(c_inst=1,(c_first_gy+171)&amp;"/"&amp;RIGHT(c_first_gy+172,2),IF(c_inst=2,(c_first_gy+INT(171/4))&amp;" Q"&amp;(MOD(171,4)+1),(c_first_gy+INT(171/12))&amp;"-"&amp;RIGHT("0"&amp;(MOD(171,12)+1),2))))</f>
        <v/>
      </c>
    </row>
    <row r="174">
      <c r="D174">
        <f>IF(173&gt;c_period_count,"",IF(c_inst=1,(c_first_gy+172)&amp;"/"&amp;RIGHT(c_first_gy+173,2),IF(c_inst=2,(c_first_gy+INT(172/4))&amp;" Q"&amp;(MOD(172,4)+1),(c_first_gy+INT(172/12))&amp;"-"&amp;RIGHT("0"&amp;(MOD(172,12)+1),2))))</f>
        <v/>
      </c>
    </row>
    <row r="175">
      <c r="D175">
        <f>IF(174&gt;c_period_count,"",IF(c_inst=1,(c_first_gy+173)&amp;"/"&amp;RIGHT(c_first_gy+174,2),IF(c_inst=2,(c_first_gy+INT(173/4))&amp;" Q"&amp;(MOD(173,4)+1),(c_first_gy+INT(173/12))&amp;"-"&amp;RIGHT("0"&amp;(MOD(173,12)+1),2))))</f>
        <v/>
      </c>
    </row>
    <row r="176">
      <c r="D176">
        <f>IF(175&gt;c_period_count,"",IF(c_inst=1,(c_first_gy+174)&amp;"/"&amp;RIGHT(c_first_gy+175,2),IF(c_inst=2,(c_first_gy+INT(174/4))&amp;" Q"&amp;(MOD(174,4)+1),(c_first_gy+INT(174/12))&amp;"-"&amp;RIGHT("0"&amp;(MOD(174,12)+1),2))))</f>
        <v/>
      </c>
    </row>
    <row r="177">
      <c r="D177">
        <f>IF(176&gt;c_period_count,"",IF(c_inst=1,(c_first_gy+175)&amp;"/"&amp;RIGHT(c_first_gy+176,2),IF(c_inst=2,(c_first_gy+INT(175/4))&amp;" Q"&amp;(MOD(175,4)+1),(c_first_gy+INT(175/12))&amp;"-"&amp;RIGHT("0"&amp;(MOD(175,12)+1),2))))</f>
        <v/>
      </c>
    </row>
    <row r="178">
      <c r="D178">
        <f>IF(177&gt;c_period_count,"",IF(c_inst=1,(c_first_gy+176)&amp;"/"&amp;RIGHT(c_first_gy+177,2),IF(c_inst=2,(c_first_gy+INT(176/4))&amp;" Q"&amp;(MOD(176,4)+1),(c_first_gy+INT(176/12))&amp;"-"&amp;RIGHT("0"&amp;(MOD(176,12)+1),2))))</f>
        <v/>
      </c>
    </row>
    <row r="179">
      <c r="D179">
        <f>IF(178&gt;c_period_count,"",IF(c_inst=1,(c_first_gy+177)&amp;"/"&amp;RIGHT(c_first_gy+178,2),IF(c_inst=2,(c_first_gy+INT(177/4))&amp;" Q"&amp;(MOD(177,4)+1),(c_first_gy+INT(177/12))&amp;"-"&amp;RIGHT("0"&amp;(MOD(177,12)+1),2))))</f>
        <v/>
      </c>
    </row>
    <row r="180">
      <c r="D180">
        <f>IF(179&gt;c_period_count,"",IF(c_inst=1,(c_first_gy+178)&amp;"/"&amp;RIGHT(c_first_gy+179,2),IF(c_inst=2,(c_first_gy+INT(178/4))&amp;" Q"&amp;(MOD(178,4)+1),(c_first_gy+INT(178/12))&amp;"-"&amp;RIGHT("0"&amp;(MOD(178,12)+1),2))))</f>
        <v/>
      </c>
    </row>
    <row r="181">
      <c r="D181">
        <f>IF(180&gt;c_period_count,"",IF(c_inst=1,(c_first_gy+179)&amp;"/"&amp;RIGHT(c_first_gy+180,2),IF(c_inst=2,(c_first_gy+INT(179/4))&amp;" Q"&amp;(MOD(179,4)+1),(c_first_gy+INT(179/12))&amp;"-"&amp;RIGHT("0"&amp;(MOD(179,12)+1),2))))</f>
        <v/>
      </c>
    </row>
    <row r="182">
      <c r="D182">
        <f>IF(181&gt;c_period_count,"",IF(c_inst=1,(c_first_gy+180)&amp;"/"&amp;RIGHT(c_first_gy+181,2),IF(c_inst=2,(c_first_gy+INT(180/4))&amp;" Q"&amp;(MOD(180,4)+1),(c_first_gy+INT(180/12))&amp;"-"&amp;RIGHT("0"&amp;(MOD(180,12)+1),2))))</f>
        <v/>
      </c>
    </row>
    <row r="183">
      <c r="D183">
        <f>IF(182&gt;c_period_count,"",IF(c_inst=1,(c_first_gy+181)&amp;"/"&amp;RIGHT(c_first_gy+182,2),IF(c_inst=2,(c_first_gy+INT(181/4))&amp;" Q"&amp;(MOD(181,4)+1),(c_first_gy+INT(181/12))&amp;"-"&amp;RIGHT("0"&amp;(MOD(181,12)+1),2))))</f>
        <v/>
      </c>
    </row>
    <row r="184">
      <c r="D184">
        <f>IF(183&gt;c_period_count,"",IF(c_inst=1,(c_first_gy+182)&amp;"/"&amp;RIGHT(c_first_gy+183,2),IF(c_inst=2,(c_first_gy+INT(182/4))&amp;" Q"&amp;(MOD(182,4)+1),(c_first_gy+INT(182/12))&amp;"-"&amp;RIGHT("0"&amp;(MOD(182,12)+1),2))))</f>
        <v/>
      </c>
    </row>
    <row r="185">
      <c r="D185">
        <f>IF(184&gt;c_period_count,"",IF(c_inst=1,(c_first_gy+183)&amp;"/"&amp;RIGHT(c_first_gy+184,2),IF(c_inst=2,(c_first_gy+INT(183/4))&amp;" Q"&amp;(MOD(183,4)+1),(c_first_gy+INT(183/12))&amp;"-"&amp;RIGHT("0"&amp;(MOD(183,12)+1),2))))</f>
        <v/>
      </c>
    </row>
    <row r="186">
      <c r="D186">
        <f>IF(185&gt;c_period_count,"",IF(c_inst=1,(c_first_gy+184)&amp;"/"&amp;RIGHT(c_first_gy+185,2),IF(c_inst=2,(c_first_gy+INT(184/4))&amp;" Q"&amp;(MOD(184,4)+1),(c_first_gy+INT(184/12))&amp;"-"&amp;RIGHT("0"&amp;(MOD(184,12)+1),2))))</f>
        <v/>
      </c>
    </row>
    <row r="187">
      <c r="D187">
        <f>IF(186&gt;c_period_count,"",IF(c_inst=1,(c_first_gy+185)&amp;"/"&amp;RIGHT(c_first_gy+186,2),IF(c_inst=2,(c_first_gy+INT(185/4))&amp;" Q"&amp;(MOD(185,4)+1),(c_first_gy+INT(185/12))&amp;"-"&amp;RIGHT("0"&amp;(MOD(185,12)+1),2))))</f>
        <v/>
      </c>
    </row>
    <row r="188">
      <c r="D188">
        <f>IF(187&gt;c_period_count,"",IF(c_inst=1,(c_first_gy+186)&amp;"/"&amp;RIGHT(c_first_gy+187,2),IF(c_inst=2,(c_first_gy+INT(186/4))&amp;" Q"&amp;(MOD(186,4)+1),(c_first_gy+INT(186/12))&amp;"-"&amp;RIGHT("0"&amp;(MOD(186,12)+1),2))))</f>
        <v/>
      </c>
    </row>
    <row r="189">
      <c r="D189">
        <f>IF(188&gt;c_period_count,"",IF(c_inst=1,(c_first_gy+187)&amp;"/"&amp;RIGHT(c_first_gy+188,2),IF(c_inst=2,(c_first_gy+INT(187/4))&amp;" Q"&amp;(MOD(187,4)+1),(c_first_gy+INT(187/12))&amp;"-"&amp;RIGHT("0"&amp;(MOD(187,12)+1),2))))</f>
        <v/>
      </c>
    </row>
    <row r="190">
      <c r="D190">
        <f>IF(189&gt;c_period_count,"",IF(c_inst=1,(c_first_gy+188)&amp;"/"&amp;RIGHT(c_first_gy+189,2),IF(c_inst=2,(c_first_gy+INT(188/4))&amp;" Q"&amp;(MOD(188,4)+1),(c_first_gy+INT(188/12))&amp;"-"&amp;RIGHT("0"&amp;(MOD(188,12)+1),2))))</f>
        <v/>
      </c>
    </row>
    <row r="191">
      <c r="D191">
        <f>IF(190&gt;c_period_count,"",IF(c_inst=1,(c_first_gy+189)&amp;"/"&amp;RIGHT(c_first_gy+190,2),IF(c_inst=2,(c_first_gy+INT(189/4))&amp;" Q"&amp;(MOD(189,4)+1),(c_first_gy+INT(189/12))&amp;"-"&amp;RIGHT("0"&amp;(MOD(189,12)+1),2))))</f>
        <v/>
      </c>
    </row>
    <row r="192">
      <c r="D192">
        <f>IF(191&gt;c_period_count,"",IF(c_inst=1,(c_first_gy+190)&amp;"/"&amp;RIGHT(c_first_gy+191,2),IF(c_inst=2,(c_first_gy+INT(190/4))&amp;" Q"&amp;(MOD(190,4)+1),(c_first_gy+INT(190/12))&amp;"-"&amp;RIGHT("0"&amp;(MOD(190,12)+1),2))))</f>
        <v/>
      </c>
    </row>
    <row r="193">
      <c r="D193">
        <f>IF(192&gt;c_period_count,"",IF(c_inst=1,(c_first_gy+191)&amp;"/"&amp;RIGHT(c_first_gy+192,2),IF(c_inst=2,(c_first_gy+INT(191/4))&amp;" Q"&amp;(MOD(191,4)+1),(c_first_gy+INT(191/12))&amp;"-"&amp;RIGHT("0"&amp;(MOD(191,12)+1),2))))</f>
        <v/>
      </c>
    </row>
    <row r="194">
      <c r="D194">
        <f>IF(193&gt;c_period_count,"",IF(c_inst=1,(c_first_gy+192)&amp;"/"&amp;RIGHT(c_first_gy+193,2),IF(c_inst=2,(c_first_gy+INT(192/4))&amp;" Q"&amp;(MOD(192,4)+1),(c_first_gy+INT(192/12))&amp;"-"&amp;RIGHT("0"&amp;(MOD(192,12)+1),2))))</f>
        <v/>
      </c>
    </row>
    <row r="195">
      <c r="D195">
        <f>IF(194&gt;c_period_count,"",IF(c_inst=1,(c_first_gy+193)&amp;"/"&amp;RIGHT(c_first_gy+194,2),IF(c_inst=2,(c_first_gy+INT(193/4))&amp;" Q"&amp;(MOD(193,4)+1),(c_first_gy+INT(193/12))&amp;"-"&amp;RIGHT("0"&amp;(MOD(193,12)+1),2))))</f>
        <v/>
      </c>
    </row>
    <row r="196">
      <c r="D196">
        <f>IF(195&gt;c_period_count,"",IF(c_inst=1,(c_first_gy+194)&amp;"/"&amp;RIGHT(c_first_gy+195,2),IF(c_inst=2,(c_first_gy+INT(194/4))&amp;" Q"&amp;(MOD(194,4)+1),(c_first_gy+INT(194/12))&amp;"-"&amp;RIGHT("0"&amp;(MOD(194,12)+1),2))))</f>
        <v/>
      </c>
    </row>
    <row r="197">
      <c r="D197">
        <f>IF(196&gt;c_period_count,"",IF(c_inst=1,(c_first_gy+195)&amp;"/"&amp;RIGHT(c_first_gy+196,2),IF(c_inst=2,(c_first_gy+INT(195/4))&amp;" Q"&amp;(MOD(195,4)+1),(c_first_gy+INT(195/12))&amp;"-"&amp;RIGHT("0"&amp;(MOD(195,12)+1),2))))</f>
        <v/>
      </c>
    </row>
    <row r="198">
      <c r="D198">
        <f>IF(197&gt;c_period_count,"",IF(c_inst=1,(c_first_gy+196)&amp;"/"&amp;RIGHT(c_first_gy+197,2),IF(c_inst=2,(c_first_gy+INT(196/4))&amp;" Q"&amp;(MOD(196,4)+1),(c_first_gy+INT(196/12))&amp;"-"&amp;RIGHT("0"&amp;(MOD(196,12)+1),2))))</f>
        <v/>
      </c>
    </row>
    <row r="199">
      <c r="D199">
        <f>IF(198&gt;c_period_count,"",IF(c_inst=1,(c_first_gy+197)&amp;"/"&amp;RIGHT(c_first_gy+198,2),IF(c_inst=2,(c_first_gy+INT(197/4))&amp;" Q"&amp;(MOD(197,4)+1),(c_first_gy+INT(197/12))&amp;"-"&amp;RIGHT("0"&amp;(MOD(197,12)+1),2))))</f>
        <v/>
      </c>
    </row>
    <row r="200">
      <c r="D200">
        <f>IF(199&gt;c_period_count,"",IF(c_inst=1,(c_first_gy+198)&amp;"/"&amp;RIGHT(c_first_gy+199,2),IF(c_inst=2,(c_first_gy+INT(198/4))&amp;" Q"&amp;(MOD(198,4)+1),(c_first_gy+INT(198/12))&amp;"-"&amp;RIGHT("0"&amp;(MOD(198,12)+1),2))))</f>
        <v/>
      </c>
    </row>
    <row r="201">
      <c r="D201">
        <f>IF(200&gt;c_period_count,"",IF(c_inst=1,(c_first_gy+199)&amp;"/"&amp;RIGHT(c_first_gy+200,2),IF(c_inst=2,(c_first_gy+INT(199/4))&amp;" Q"&amp;(MOD(199,4)+1),(c_first_gy+INT(199/12))&amp;"-"&amp;RIGHT("0"&amp;(MOD(199,12)+1),2))))</f>
        <v/>
      </c>
    </row>
    <row r="202">
      <c r="D202">
        <f>IF(201&gt;c_period_count,"",IF(c_inst=1,(c_first_gy+200)&amp;"/"&amp;RIGHT(c_first_gy+201,2),IF(c_inst=2,(c_first_gy+INT(200/4))&amp;" Q"&amp;(MOD(200,4)+1),(c_first_gy+INT(200/12))&amp;"-"&amp;RIGHT("0"&amp;(MOD(200,12)+1),2))))</f>
        <v/>
      </c>
    </row>
    <row r="203">
      <c r="D203">
        <f>IF(202&gt;c_period_count,"",IF(c_inst=1,(c_first_gy+201)&amp;"/"&amp;RIGHT(c_first_gy+202,2),IF(c_inst=2,(c_first_gy+INT(201/4))&amp;" Q"&amp;(MOD(201,4)+1),(c_first_gy+INT(201/12))&amp;"-"&amp;RIGHT("0"&amp;(MOD(201,12)+1),2))))</f>
        <v/>
      </c>
    </row>
    <row r="204">
      <c r="D204">
        <f>IF(203&gt;c_period_count,"",IF(c_inst=1,(c_first_gy+202)&amp;"/"&amp;RIGHT(c_first_gy+203,2),IF(c_inst=2,(c_first_gy+INT(202/4))&amp;" Q"&amp;(MOD(202,4)+1),(c_first_gy+INT(202/12))&amp;"-"&amp;RIGHT("0"&amp;(MOD(202,12)+1),2))))</f>
        <v/>
      </c>
    </row>
    <row r="205">
      <c r="D205">
        <f>IF(204&gt;c_period_count,"",IF(c_inst=1,(c_first_gy+203)&amp;"/"&amp;RIGHT(c_first_gy+204,2),IF(c_inst=2,(c_first_gy+INT(203/4))&amp;" Q"&amp;(MOD(203,4)+1),(c_first_gy+INT(203/12))&amp;"-"&amp;RIGHT("0"&amp;(MOD(203,12)+1),2))))</f>
        <v/>
      </c>
    </row>
    <row r="206">
      <c r="D206">
        <f>IF(205&gt;c_period_count,"",IF(c_inst=1,(c_first_gy+204)&amp;"/"&amp;RIGHT(c_first_gy+205,2),IF(c_inst=2,(c_first_gy+INT(204/4))&amp;" Q"&amp;(MOD(204,4)+1),(c_first_gy+INT(204/12))&amp;"-"&amp;RIGHT("0"&amp;(MOD(204,12)+1),2))))</f>
        <v/>
      </c>
    </row>
    <row r="207">
      <c r="D207">
        <f>IF(206&gt;c_period_count,"",IF(c_inst=1,(c_first_gy+205)&amp;"/"&amp;RIGHT(c_first_gy+206,2),IF(c_inst=2,(c_first_gy+INT(205/4))&amp;" Q"&amp;(MOD(205,4)+1),(c_first_gy+INT(205/12))&amp;"-"&amp;RIGHT("0"&amp;(MOD(205,12)+1),2))))</f>
        <v/>
      </c>
    </row>
    <row r="208">
      <c r="D208">
        <f>IF(207&gt;c_period_count,"",IF(c_inst=1,(c_first_gy+206)&amp;"/"&amp;RIGHT(c_first_gy+207,2),IF(c_inst=2,(c_first_gy+INT(206/4))&amp;" Q"&amp;(MOD(206,4)+1),(c_first_gy+INT(206/12))&amp;"-"&amp;RIGHT("0"&amp;(MOD(206,12)+1),2))))</f>
        <v/>
      </c>
    </row>
    <row r="209">
      <c r="D209">
        <f>IF(208&gt;c_period_count,"",IF(c_inst=1,(c_first_gy+207)&amp;"/"&amp;RIGHT(c_first_gy+208,2),IF(c_inst=2,(c_first_gy+INT(207/4))&amp;" Q"&amp;(MOD(207,4)+1),(c_first_gy+INT(207/12))&amp;"-"&amp;RIGHT("0"&amp;(MOD(207,12)+1),2))))</f>
        <v/>
      </c>
    </row>
    <row r="210">
      <c r="D210">
        <f>IF(209&gt;c_period_count,"",IF(c_inst=1,(c_first_gy+208)&amp;"/"&amp;RIGHT(c_first_gy+209,2),IF(c_inst=2,(c_first_gy+INT(208/4))&amp;" Q"&amp;(MOD(208,4)+1),(c_first_gy+INT(208/12))&amp;"-"&amp;RIGHT("0"&amp;(MOD(208,12)+1),2))))</f>
        <v/>
      </c>
    </row>
    <row r="211">
      <c r="D211">
        <f>IF(210&gt;c_period_count,"",IF(c_inst=1,(c_first_gy+209)&amp;"/"&amp;RIGHT(c_first_gy+210,2),IF(c_inst=2,(c_first_gy+INT(209/4))&amp;" Q"&amp;(MOD(209,4)+1),(c_first_gy+INT(209/12))&amp;"-"&amp;RIGHT("0"&amp;(MOD(209,12)+1),2))))</f>
        <v/>
      </c>
    </row>
    <row r="212">
      <c r="D212">
        <f>IF(211&gt;c_period_count,"",IF(c_inst=1,(c_first_gy+210)&amp;"/"&amp;RIGHT(c_first_gy+211,2),IF(c_inst=2,(c_first_gy+INT(210/4))&amp;" Q"&amp;(MOD(210,4)+1),(c_first_gy+INT(210/12))&amp;"-"&amp;RIGHT("0"&amp;(MOD(210,12)+1),2))))</f>
        <v/>
      </c>
    </row>
    <row r="213">
      <c r="D213">
        <f>IF(212&gt;c_period_count,"",IF(c_inst=1,(c_first_gy+211)&amp;"/"&amp;RIGHT(c_first_gy+212,2),IF(c_inst=2,(c_first_gy+INT(211/4))&amp;" Q"&amp;(MOD(211,4)+1),(c_first_gy+INT(211/12))&amp;"-"&amp;RIGHT("0"&amp;(MOD(211,12)+1),2))))</f>
        <v/>
      </c>
    </row>
    <row r="214">
      <c r="D214">
        <f>IF(213&gt;c_period_count,"",IF(c_inst=1,(c_first_gy+212)&amp;"/"&amp;RIGHT(c_first_gy+213,2),IF(c_inst=2,(c_first_gy+INT(212/4))&amp;" Q"&amp;(MOD(212,4)+1),(c_first_gy+INT(212/12))&amp;"-"&amp;RIGHT("0"&amp;(MOD(212,12)+1),2))))</f>
        <v/>
      </c>
    </row>
    <row r="215">
      <c r="D215">
        <f>IF(214&gt;c_period_count,"",IF(c_inst=1,(c_first_gy+213)&amp;"/"&amp;RIGHT(c_first_gy+214,2),IF(c_inst=2,(c_first_gy+INT(213/4))&amp;" Q"&amp;(MOD(213,4)+1),(c_first_gy+INT(213/12))&amp;"-"&amp;RIGHT("0"&amp;(MOD(213,12)+1),2))))</f>
        <v/>
      </c>
    </row>
    <row r="216">
      <c r="D216">
        <f>IF(215&gt;c_period_count,"",IF(c_inst=1,(c_first_gy+214)&amp;"/"&amp;RIGHT(c_first_gy+215,2),IF(c_inst=2,(c_first_gy+INT(214/4))&amp;" Q"&amp;(MOD(214,4)+1),(c_first_gy+INT(214/12))&amp;"-"&amp;RIGHT("0"&amp;(MOD(214,12)+1),2))))</f>
        <v/>
      </c>
    </row>
    <row r="217">
      <c r="D217">
        <f>IF(216&gt;c_period_count,"",IF(c_inst=1,(c_first_gy+215)&amp;"/"&amp;RIGHT(c_first_gy+216,2),IF(c_inst=2,(c_first_gy+INT(215/4))&amp;" Q"&amp;(MOD(215,4)+1),(c_first_gy+INT(215/12))&amp;"-"&amp;RIGHT("0"&amp;(MOD(215,12)+1),2))))</f>
        <v/>
      </c>
    </row>
    <row r="218">
      <c r="D218">
        <f>IF(217&gt;c_period_count,"",IF(c_inst=1,(c_first_gy+216)&amp;"/"&amp;RIGHT(c_first_gy+217,2),IF(c_inst=2,(c_first_gy+INT(216/4))&amp;" Q"&amp;(MOD(216,4)+1),(c_first_gy+INT(216/12))&amp;"-"&amp;RIGHT("0"&amp;(MOD(216,12)+1),2))))</f>
        <v/>
      </c>
    </row>
    <row r="219">
      <c r="D219">
        <f>IF(218&gt;c_period_count,"",IF(c_inst=1,(c_first_gy+217)&amp;"/"&amp;RIGHT(c_first_gy+218,2),IF(c_inst=2,(c_first_gy+INT(217/4))&amp;" Q"&amp;(MOD(217,4)+1),(c_first_gy+INT(217/12))&amp;"-"&amp;RIGHT("0"&amp;(MOD(217,12)+1),2))))</f>
        <v/>
      </c>
    </row>
    <row r="220">
      <c r="D220">
        <f>IF(219&gt;c_period_count,"",IF(c_inst=1,(c_first_gy+218)&amp;"/"&amp;RIGHT(c_first_gy+219,2),IF(c_inst=2,(c_first_gy+INT(218/4))&amp;" Q"&amp;(MOD(218,4)+1),(c_first_gy+INT(218/12))&amp;"-"&amp;RIGHT("0"&amp;(MOD(218,12)+1),2))))</f>
        <v/>
      </c>
    </row>
    <row r="221">
      <c r="D221">
        <f>IF(220&gt;c_period_count,"",IF(c_inst=1,(c_first_gy+219)&amp;"/"&amp;RIGHT(c_first_gy+220,2),IF(c_inst=2,(c_first_gy+INT(219/4))&amp;" Q"&amp;(MOD(219,4)+1),(c_first_gy+INT(219/12))&amp;"-"&amp;RIGHT("0"&amp;(MOD(219,12)+1),2))))</f>
        <v/>
      </c>
    </row>
    <row r="222">
      <c r="D222">
        <f>IF(221&gt;c_period_count,"",IF(c_inst=1,(c_first_gy+220)&amp;"/"&amp;RIGHT(c_first_gy+221,2),IF(c_inst=2,(c_first_gy+INT(220/4))&amp;" Q"&amp;(MOD(220,4)+1),(c_first_gy+INT(220/12))&amp;"-"&amp;RIGHT("0"&amp;(MOD(220,12)+1),2))))</f>
        <v/>
      </c>
    </row>
    <row r="223">
      <c r="D223">
        <f>IF(222&gt;c_period_count,"",IF(c_inst=1,(c_first_gy+221)&amp;"/"&amp;RIGHT(c_first_gy+222,2),IF(c_inst=2,(c_first_gy+INT(221/4))&amp;" Q"&amp;(MOD(221,4)+1),(c_first_gy+INT(221/12))&amp;"-"&amp;RIGHT("0"&amp;(MOD(221,12)+1),2))))</f>
        <v/>
      </c>
    </row>
    <row r="224">
      <c r="D224">
        <f>IF(223&gt;c_period_count,"",IF(c_inst=1,(c_first_gy+222)&amp;"/"&amp;RIGHT(c_first_gy+223,2),IF(c_inst=2,(c_first_gy+INT(222/4))&amp;" Q"&amp;(MOD(222,4)+1),(c_first_gy+INT(222/12))&amp;"-"&amp;RIGHT("0"&amp;(MOD(222,12)+1),2))))</f>
        <v/>
      </c>
    </row>
    <row r="225">
      <c r="D225">
        <f>IF(224&gt;c_period_count,"",IF(c_inst=1,(c_first_gy+223)&amp;"/"&amp;RIGHT(c_first_gy+224,2),IF(c_inst=2,(c_first_gy+INT(223/4))&amp;" Q"&amp;(MOD(223,4)+1),(c_first_gy+INT(223/12))&amp;"-"&amp;RIGHT("0"&amp;(MOD(223,12)+1),2))))</f>
        <v/>
      </c>
    </row>
    <row r="226">
      <c r="D226">
        <f>IF(225&gt;c_period_count,"",IF(c_inst=1,(c_first_gy+224)&amp;"/"&amp;RIGHT(c_first_gy+225,2),IF(c_inst=2,(c_first_gy+INT(224/4))&amp;" Q"&amp;(MOD(224,4)+1),(c_first_gy+INT(224/12))&amp;"-"&amp;RIGHT("0"&amp;(MOD(224,12)+1),2))))</f>
        <v/>
      </c>
    </row>
    <row r="227">
      <c r="D227">
        <f>IF(226&gt;c_period_count,"",IF(c_inst=1,(c_first_gy+225)&amp;"/"&amp;RIGHT(c_first_gy+226,2),IF(c_inst=2,(c_first_gy+INT(225/4))&amp;" Q"&amp;(MOD(225,4)+1),(c_first_gy+INT(225/12))&amp;"-"&amp;RIGHT("0"&amp;(MOD(225,12)+1),2))))</f>
        <v/>
      </c>
    </row>
    <row r="228">
      <c r="D228">
        <f>IF(227&gt;c_period_count,"",IF(c_inst=1,(c_first_gy+226)&amp;"/"&amp;RIGHT(c_first_gy+227,2),IF(c_inst=2,(c_first_gy+INT(226/4))&amp;" Q"&amp;(MOD(226,4)+1),(c_first_gy+INT(226/12))&amp;"-"&amp;RIGHT("0"&amp;(MOD(226,12)+1),2))))</f>
        <v/>
      </c>
    </row>
    <row r="229">
      <c r="D229">
        <f>IF(228&gt;c_period_count,"",IF(c_inst=1,(c_first_gy+227)&amp;"/"&amp;RIGHT(c_first_gy+228,2),IF(c_inst=2,(c_first_gy+INT(227/4))&amp;" Q"&amp;(MOD(227,4)+1),(c_first_gy+INT(227/12))&amp;"-"&amp;RIGHT("0"&amp;(MOD(227,12)+1),2))))</f>
        <v/>
      </c>
    </row>
    <row r="230">
      <c r="D230">
        <f>IF(229&gt;c_period_count,"",IF(c_inst=1,(c_first_gy+228)&amp;"/"&amp;RIGHT(c_first_gy+229,2),IF(c_inst=2,(c_first_gy+INT(228/4))&amp;" Q"&amp;(MOD(228,4)+1),(c_first_gy+INT(228/12))&amp;"-"&amp;RIGHT("0"&amp;(MOD(228,12)+1),2))))</f>
        <v/>
      </c>
    </row>
    <row r="231">
      <c r="D231">
        <f>IF(230&gt;c_period_count,"",IF(c_inst=1,(c_first_gy+229)&amp;"/"&amp;RIGHT(c_first_gy+230,2),IF(c_inst=2,(c_first_gy+INT(229/4))&amp;" Q"&amp;(MOD(229,4)+1),(c_first_gy+INT(229/12))&amp;"-"&amp;RIGHT("0"&amp;(MOD(229,12)+1),2))))</f>
        <v/>
      </c>
    </row>
    <row r="232">
      <c r="D232">
        <f>IF(231&gt;c_period_count,"",IF(c_inst=1,(c_first_gy+230)&amp;"/"&amp;RIGHT(c_first_gy+231,2),IF(c_inst=2,(c_first_gy+INT(230/4))&amp;" Q"&amp;(MOD(230,4)+1),(c_first_gy+INT(230/12))&amp;"-"&amp;RIGHT("0"&amp;(MOD(230,12)+1),2))))</f>
        <v/>
      </c>
    </row>
    <row r="233">
      <c r="D233">
        <f>IF(232&gt;c_period_count,"",IF(c_inst=1,(c_first_gy+231)&amp;"/"&amp;RIGHT(c_first_gy+232,2),IF(c_inst=2,(c_first_gy+INT(231/4))&amp;" Q"&amp;(MOD(231,4)+1),(c_first_gy+INT(231/12))&amp;"-"&amp;RIGHT("0"&amp;(MOD(231,12)+1),2))))</f>
        <v/>
      </c>
    </row>
    <row r="234">
      <c r="D234">
        <f>IF(233&gt;c_period_count,"",IF(c_inst=1,(c_first_gy+232)&amp;"/"&amp;RIGHT(c_first_gy+233,2),IF(c_inst=2,(c_first_gy+INT(232/4))&amp;" Q"&amp;(MOD(232,4)+1),(c_first_gy+INT(232/12))&amp;"-"&amp;RIGHT("0"&amp;(MOD(232,12)+1),2))))</f>
        <v/>
      </c>
    </row>
    <row r="235">
      <c r="D235">
        <f>IF(234&gt;c_period_count,"",IF(c_inst=1,(c_first_gy+233)&amp;"/"&amp;RIGHT(c_first_gy+234,2),IF(c_inst=2,(c_first_gy+INT(233/4))&amp;" Q"&amp;(MOD(233,4)+1),(c_first_gy+INT(233/12))&amp;"-"&amp;RIGHT("0"&amp;(MOD(233,12)+1),2))))</f>
        <v/>
      </c>
    </row>
    <row r="236">
      <c r="D236">
        <f>IF(235&gt;c_period_count,"",IF(c_inst=1,(c_first_gy+234)&amp;"/"&amp;RIGHT(c_first_gy+235,2),IF(c_inst=2,(c_first_gy+INT(234/4))&amp;" Q"&amp;(MOD(234,4)+1),(c_first_gy+INT(234/12))&amp;"-"&amp;RIGHT("0"&amp;(MOD(234,12)+1),2))))</f>
        <v/>
      </c>
    </row>
    <row r="237">
      <c r="D237">
        <f>IF(236&gt;c_period_count,"",IF(c_inst=1,(c_first_gy+235)&amp;"/"&amp;RIGHT(c_first_gy+236,2),IF(c_inst=2,(c_first_gy+INT(235/4))&amp;" Q"&amp;(MOD(235,4)+1),(c_first_gy+INT(235/12))&amp;"-"&amp;RIGHT("0"&amp;(MOD(235,12)+1),2))))</f>
        <v/>
      </c>
    </row>
    <row r="238">
      <c r="D238">
        <f>IF(237&gt;c_period_count,"",IF(c_inst=1,(c_first_gy+236)&amp;"/"&amp;RIGHT(c_first_gy+237,2),IF(c_inst=2,(c_first_gy+INT(236/4))&amp;" Q"&amp;(MOD(236,4)+1),(c_first_gy+INT(236/12))&amp;"-"&amp;RIGHT("0"&amp;(MOD(236,12)+1),2))))</f>
        <v/>
      </c>
    </row>
    <row r="239">
      <c r="D239">
        <f>IF(238&gt;c_period_count,"",IF(c_inst=1,(c_first_gy+237)&amp;"/"&amp;RIGHT(c_first_gy+238,2),IF(c_inst=2,(c_first_gy+INT(237/4))&amp;" Q"&amp;(MOD(237,4)+1),(c_first_gy+INT(237/12))&amp;"-"&amp;RIGHT("0"&amp;(MOD(237,12)+1),2))))</f>
        <v/>
      </c>
    </row>
    <row r="240">
      <c r="D240">
        <f>IF(239&gt;c_period_count,"",IF(c_inst=1,(c_first_gy+238)&amp;"/"&amp;RIGHT(c_first_gy+239,2),IF(c_inst=2,(c_first_gy+INT(238/4))&amp;" Q"&amp;(MOD(238,4)+1),(c_first_gy+INT(238/12))&amp;"-"&amp;RIGHT("0"&amp;(MOD(238,12)+1),2))))</f>
        <v/>
      </c>
    </row>
    <row r="241">
      <c r="D241">
        <f>IF(240&gt;c_period_count,"",IF(c_inst=1,(c_first_gy+239)&amp;"/"&amp;RIGHT(c_first_gy+240,2),IF(c_inst=2,(c_first_gy+INT(239/4))&amp;" Q"&amp;(MOD(239,4)+1),(c_first_gy+INT(239/12))&amp;"-"&amp;RIGHT("0"&amp;(MOD(239,12)+1),2))))</f>
        <v/>
      </c>
    </row>
    <row r="242">
      <c r="D242">
        <f>IF(241&gt;c_period_count,"",IF(c_inst=1,(c_first_gy+240)&amp;"/"&amp;RIGHT(c_first_gy+241,2),IF(c_inst=2,(c_first_gy+INT(240/4))&amp;" Q"&amp;(MOD(240,4)+1),(c_first_gy+INT(240/12))&amp;"-"&amp;RIGHT("0"&amp;(MOD(240,12)+1),2))))</f>
        <v/>
      </c>
    </row>
    <row r="243">
      <c r="D243">
        <f>IF(242&gt;c_period_count,"",IF(c_inst=1,(c_first_gy+241)&amp;"/"&amp;RIGHT(c_first_gy+242,2),IF(c_inst=2,(c_first_gy+INT(241/4))&amp;" Q"&amp;(MOD(241,4)+1),(c_first_gy+INT(241/12))&amp;"-"&amp;RIGHT("0"&amp;(MOD(241,12)+1),2))))</f>
        <v/>
      </c>
    </row>
    <row r="244">
      <c r="D244">
        <f>IF(243&gt;c_period_count,"",IF(c_inst=1,(c_first_gy+242)&amp;"/"&amp;RIGHT(c_first_gy+243,2),IF(c_inst=2,(c_first_gy+INT(242/4))&amp;" Q"&amp;(MOD(242,4)+1),(c_first_gy+INT(242/12))&amp;"-"&amp;RIGHT("0"&amp;(MOD(242,12)+1),2))))</f>
        <v/>
      </c>
    </row>
    <row r="245">
      <c r="D245">
        <f>IF(244&gt;c_period_count,"",IF(c_inst=1,(c_first_gy+243)&amp;"/"&amp;RIGHT(c_first_gy+244,2),IF(c_inst=2,(c_first_gy+INT(243/4))&amp;" Q"&amp;(MOD(243,4)+1),(c_first_gy+INT(243/12))&amp;"-"&amp;RIGHT("0"&amp;(MOD(243,12)+1),2))))</f>
        <v/>
      </c>
    </row>
    <row r="246">
      <c r="D246">
        <f>IF(245&gt;c_period_count,"",IF(c_inst=1,(c_first_gy+244)&amp;"/"&amp;RIGHT(c_first_gy+245,2),IF(c_inst=2,(c_first_gy+INT(244/4))&amp;" Q"&amp;(MOD(244,4)+1),(c_first_gy+INT(244/12))&amp;"-"&amp;RIGHT("0"&amp;(MOD(244,12)+1),2))))</f>
        <v/>
      </c>
    </row>
    <row r="247">
      <c r="D247">
        <f>IF(246&gt;c_period_count,"",IF(c_inst=1,(c_first_gy+245)&amp;"/"&amp;RIGHT(c_first_gy+246,2),IF(c_inst=2,(c_first_gy+INT(245/4))&amp;" Q"&amp;(MOD(245,4)+1),(c_first_gy+INT(245/12))&amp;"-"&amp;RIGHT("0"&amp;(MOD(245,12)+1),2))))</f>
        <v/>
      </c>
    </row>
    <row r="248">
      <c r="D248">
        <f>IF(247&gt;c_period_count,"",IF(c_inst=1,(c_first_gy+246)&amp;"/"&amp;RIGHT(c_first_gy+247,2),IF(c_inst=2,(c_first_gy+INT(246/4))&amp;" Q"&amp;(MOD(246,4)+1),(c_first_gy+INT(246/12))&amp;"-"&amp;RIGHT("0"&amp;(MOD(246,12)+1),2))))</f>
        <v/>
      </c>
    </row>
    <row r="249">
      <c r="D249">
        <f>IF(248&gt;c_period_count,"",IF(c_inst=1,(c_first_gy+247)&amp;"/"&amp;RIGHT(c_first_gy+248,2),IF(c_inst=2,(c_first_gy+INT(247/4))&amp;" Q"&amp;(MOD(247,4)+1),(c_first_gy+INT(247/12))&amp;"-"&amp;RIGHT("0"&amp;(MOD(247,12)+1),2))))</f>
        <v/>
      </c>
    </row>
    <row r="250">
      <c r="D250">
        <f>IF(249&gt;c_period_count,"",IF(c_inst=1,(c_first_gy+248)&amp;"/"&amp;RIGHT(c_first_gy+249,2),IF(c_inst=2,(c_first_gy+INT(248/4))&amp;" Q"&amp;(MOD(248,4)+1),(c_first_gy+INT(248/12))&amp;"-"&amp;RIGHT("0"&amp;(MOD(248,12)+1),2))))</f>
        <v/>
      </c>
    </row>
    <row r="251">
      <c r="D251">
        <f>IF(250&gt;c_period_count,"",IF(c_inst=1,(c_first_gy+249)&amp;"/"&amp;RIGHT(c_first_gy+250,2),IF(c_inst=2,(c_first_gy+INT(249/4))&amp;" Q"&amp;(MOD(249,4)+1),(c_first_gy+INT(249/12))&amp;"-"&amp;RIGHT("0"&amp;(MOD(249,12)+1),2))))</f>
        <v/>
      </c>
    </row>
    <row r="252">
      <c r="D252">
        <f>IF(251&gt;c_period_count,"",IF(c_inst=1,(c_first_gy+250)&amp;"/"&amp;RIGHT(c_first_gy+251,2),IF(c_inst=2,(c_first_gy+INT(250/4))&amp;" Q"&amp;(MOD(250,4)+1),(c_first_gy+INT(250/12))&amp;"-"&amp;RIGHT("0"&amp;(MOD(250,12)+1),2))))</f>
        <v/>
      </c>
    </row>
    <row r="253">
      <c r="D253">
        <f>IF(252&gt;c_period_count,"",IF(c_inst=1,(c_first_gy+251)&amp;"/"&amp;RIGHT(c_first_gy+252,2),IF(c_inst=2,(c_first_gy+INT(251/4))&amp;" Q"&amp;(MOD(251,4)+1),(c_first_gy+INT(251/12))&amp;"-"&amp;RIGHT("0"&amp;(MOD(251,12)+1),2))))</f>
        <v/>
      </c>
    </row>
    <row r="254">
      <c r="D254">
        <f>IF(253&gt;c_period_count,"",IF(c_inst=1,(c_first_gy+252)&amp;"/"&amp;RIGHT(c_first_gy+253,2),IF(c_inst=2,(c_first_gy+INT(252/4))&amp;" Q"&amp;(MOD(252,4)+1),(c_first_gy+INT(252/12))&amp;"-"&amp;RIGHT("0"&amp;(MOD(252,12)+1),2))))</f>
        <v/>
      </c>
    </row>
    <row r="255">
      <c r="D255">
        <f>IF(254&gt;c_period_count,"",IF(c_inst=1,(c_first_gy+253)&amp;"/"&amp;RIGHT(c_first_gy+254,2),IF(c_inst=2,(c_first_gy+INT(253/4))&amp;" Q"&amp;(MOD(253,4)+1),(c_first_gy+INT(253/12))&amp;"-"&amp;RIGHT("0"&amp;(MOD(253,12)+1),2))))</f>
        <v/>
      </c>
    </row>
    <row r="256">
      <c r="D256">
        <f>IF(255&gt;c_period_count,"",IF(c_inst=1,(c_first_gy+254)&amp;"/"&amp;RIGHT(c_first_gy+255,2),IF(c_inst=2,(c_first_gy+INT(254/4))&amp;" Q"&amp;(MOD(254,4)+1),(c_first_gy+INT(254/12))&amp;"-"&amp;RIGHT("0"&amp;(MOD(254,12)+1),2))))</f>
        <v/>
      </c>
    </row>
    <row r="257">
      <c r="D257">
        <f>IF(256&gt;c_period_count,"",IF(c_inst=1,(c_first_gy+255)&amp;"/"&amp;RIGHT(c_first_gy+256,2),IF(c_inst=2,(c_first_gy+INT(255/4))&amp;" Q"&amp;(MOD(255,4)+1),(c_first_gy+INT(255/12))&amp;"-"&amp;RIGHT("0"&amp;(MOD(255,12)+1),2))))</f>
        <v/>
      </c>
    </row>
    <row r="258">
      <c r="D258">
        <f>IF(257&gt;c_period_count,"",IF(c_inst=1,(c_first_gy+256)&amp;"/"&amp;RIGHT(c_first_gy+257,2),IF(c_inst=2,(c_first_gy+INT(256/4))&amp;" Q"&amp;(MOD(256,4)+1),(c_first_gy+INT(256/12))&amp;"-"&amp;RIGHT("0"&amp;(MOD(256,12)+1),2))))</f>
        <v/>
      </c>
    </row>
    <row r="259">
      <c r="D259">
        <f>IF(258&gt;c_period_count,"",IF(c_inst=1,(c_first_gy+257)&amp;"/"&amp;RIGHT(c_first_gy+258,2),IF(c_inst=2,(c_first_gy+INT(257/4))&amp;" Q"&amp;(MOD(257,4)+1),(c_first_gy+INT(257/12))&amp;"-"&amp;RIGHT("0"&amp;(MOD(257,12)+1),2))))</f>
        <v/>
      </c>
    </row>
    <row r="260">
      <c r="D260">
        <f>IF(259&gt;c_period_count,"",IF(c_inst=1,(c_first_gy+258)&amp;"/"&amp;RIGHT(c_first_gy+259,2),IF(c_inst=2,(c_first_gy+INT(258/4))&amp;" Q"&amp;(MOD(258,4)+1),(c_first_gy+INT(258/12))&amp;"-"&amp;RIGHT("0"&amp;(MOD(258,12)+1),2))))</f>
        <v/>
      </c>
    </row>
    <row r="261">
      <c r="D261">
        <f>IF(260&gt;c_period_count,"",IF(c_inst=1,(c_first_gy+259)&amp;"/"&amp;RIGHT(c_first_gy+260,2),IF(c_inst=2,(c_first_gy+INT(259/4))&amp;" Q"&amp;(MOD(259,4)+1),(c_first_gy+INT(259/12))&amp;"-"&amp;RIGHT("0"&amp;(MOD(259,12)+1),2))))</f>
        <v/>
      </c>
    </row>
    <row r="262">
      <c r="D262">
        <f>IF(261&gt;c_period_count,"",IF(c_inst=1,(c_first_gy+260)&amp;"/"&amp;RIGHT(c_first_gy+261,2),IF(c_inst=2,(c_first_gy+INT(260/4))&amp;" Q"&amp;(MOD(260,4)+1),(c_first_gy+INT(260/12))&amp;"-"&amp;RIGHT("0"&amp;(MOD(260,12)+1),2))))</f>
        <v/>
      </c>
    </row>
    <row r="263">
      <c r="D263">
        <f>IF(262&gt;c_period_count,"",IF(c_inst=1,(c_first_gy+261)&amp;"/"&amp;RIGHT(c_first_gy+262,2),IF(c_inst=2,(c_first_gy+INT(261/4))&amp;" Q"&amp;(MOD(261,4)+1),(c_first_gy+INT(261/12))&amp;"-"&amp;RIGHT("0"&amp;(MOD(261,12)+1),2))))</f>
        <v/>
      </c>
    </row>
    <row r="264">
      <c r="D264">
        <f>IF(263&gt;c_period_count,"",IF(c_inst=1,(c_first_gy+262)&amp;"/"&amp;RIGHT(c_first_gy+263,2),IF(c_inst=2,(c_first_gy+INT(262/4))&amp;" Q"&amp;(MOD(262,4)+1),(c_first_gy+INT(262/12))&amp;"-"&amp;RIGHT("0"&amp;(MOD(262,12)+1),2))))</f>
        <v/>
      </c>
    </row>
    <row r="265">
      <c r="D265">
        <f>IF(264&gt;c_period_count,"",IF(c_inst=1,(c_first_gy+263)&amp;"/"&amp;RIGHT(c_first_gy+264,2),IF(c_inst=2,(c_first_gy+INT(263/4))&amp;" Q"&amp;(MOD(263,4)+1),(c_first_gy+INT(263/12))&amp;"-"&amp;RIGHT("0"&amp;(MOD(263,12)+1),2))))</f>
        <v/>
      </c>
    </row>
    <row r="266">
      <c r="D266">
        <f>IF(265&gt;c_period_count,"",IF(c_inst=1,(c_first_gy+264)&amp;"/"&amp;RIGHT(c_first_gy+265,2),IF(c_inst=2,(c_first_gy+INT(264/4))&amp;" Q"&amp;(MOD(264,4)+1),(c_first_gy+INT(264/12))&amp;"-"&amp;RIGHT("0"&amp;(MOD(264,12)+1),2))))</f>
        <v/>
      </c>
    </row>
    <row r="267">
      <c r="D267">
        <f>IF(266&gt;c_period_count,"",IF(c_inst=1,(c_first_gy+265)&amp;"/"&amp;RIGHT(c_first_gy+266,2),IF(c_inst=2,(c_first_gy+INT(265/4))&amp;" Q"&amp;(MOD(265,4)+1),(c_first_gy+INT(265/12))&amp;"-"&amp;RIGHT("0"&amp;(MOD(265,12)+1),2))))</f>
        <v/>
      </c>
    </row>
    <row r="268">
      <c r="D268">
        <f>IF(267&gt;c_period_count,"",IF(c_inst=1,(c_first_gy+266)&amp;"/"&amp;RIGHT(c_first_gy+267,2),IF(c_inst=2,(c_first_gy+INT(266/4))&amp;" Q"&amp;(MOD(266,4)+1),(c_first_gy+INT(266/12))&amp;"-"&amp;RIGHT("0"&amp;(MOD(266,12)+1),2))))</f>
        <v/>
      </c>
    </row>
    <row r="269">
      <c r="D269">
        <f>IF(268&gt;c_period_count,"",IF(c_inst=1,(c_first_gy+267)&amp;"/"&amp;RIGHT(c_first_gy+268,2),IF(c_inst=2,(c_first_gy+INT(267/4))&amp;" Q"&amp;(MOD(267,4)+1),(c_first_gy+INT(267/12))&amp;"-"&amp;RIGHT("0"&amp;(MOD(267,12)+1),2))))</f>
        <v/>
      </c>
    </row>
    <row r="270">
      <c r="D270">
        <f>IF(269&gt;c_period_count,"",IF(c_inst=1,(c_first_gy+268)&amp;"/"&amp;RIGHT(c_first_gy+269,2),IF(c_inst=2,(c_first_gy+INT(268/4))&amp;" Q"&amp;(MOD(268,4)+1),(c_first_gy+INT(268/12))&amp;"-"&amp;RIGHT("0"&amp;(MOD(268,12)+1),2))))</f>
        <v/>
      </c>
    </row>
    <row r="271">
      <c r="D271">
        <f>IF(270&gt;c_period_count,"",IF(c_inst=1,(c_first_gy+269)&amp;"/"&amp;RIGHT(c_first_gy+270,2),IF(c_inst=2,(c_first_gy+INT(269/4))&amp;" Q"&amp;(MOD(269,4)+1),(c_first_gy+INT(269/12))&amp;"-"&amp;RIGHT("0"&amp;(MOD(269,12)+1),2))))</f>
        <v/>
      </c>
    </row>
    <row r="272">
      <c r="D272">
        <f>IF(271&gt;c_period_count,"",IF(c_inst=1,(c_first_gy+270)&amp;"/"&amp;RIGHT(c_first_gy+271,2),IF(c_inst=2,(c_first_gy+INT(270/4))&amp;" Q"&amp;(MOD(270,4)+1),(c_first_gy+INT(270/12))&amp;"-"&amp;RIGHT("0"&amp;(MOD(270,12)+1),2))))</f>
        <v/>
      </c>
    </row>
    <row r="273">
      <c r="D273">
        <f>IF(272&gt;c_period_count,"",IF(c_inst=1,(c_first_gy+271)&amp;"/"&amp;RIGHT(c_first_gy+272,2),IF(c_inst=2,(c_first_gy+INT(271/4))&amp;" Q"&amp;(MOD(271,4)+1),(c_first_gy+INT(271/12))&amp;"-"&amp;RIGHT("0"&amp;(MOD(271,12)+1),2))))</f>
        <v/>
      </c>
    </row>
    <row r="274">
      <c r="D274">
        <f>IF(273&gt;c_period_count,"",IF(c_inst=1,(c_first_gy+272)&amp;"/"&amp;RIGHT(c_first_gy+273,2),IF(c_inst=2,(c_first_gy+INT(272/4))&amp;" Q"&amp;(MOD(272,4)+1),(c_first_gy+INT(272/12))&amp;"-"&amp;RIGHT("0"&amp;(MOD(272,12)+1),2))))</f>
        <v/>
      </c>
    </row>
    <row r="275">
      <c r="D275">
        <f>IF(274&gt;c_period_count,"",IF(c_inst=1,(c_first_gy+273)&amp;"/"&amp;RIGHT(c_first_gy+274,2),IF(c_inst=2,(c_first_gy+INT(273/4))&amp;" Q"&amp;(MOD(273,4)+1),(c_first_gy+INT(273/12))&amp;"-"&amp;RIGHT("0"&amp;(MOD(273,12)+1),2))))</f>
        <v/>
      </c>
    </row>
    <row r="276">
      <c r="D276">
        <f>IF(275&gt;c_period_count,"",IF(c_inst=1,(c_first_gy+274)&amp;"/"&amp;RIGHT(c_first_gy+275,2),IF(c_inst=2,(c_first_gy+INT(274/4))&amp;" Q"&amp;(MOD(274,4)+1),(c_first_gy+INT(274/12))&amp;"-"&amp;RIGHT("0"&amp;(MOD(274,12)+1),2))))</f>
        <v/>
      </c>
    </row>
    <row r="277">
      <c r="D277">
        <f>IF(276&gt;c_period_count,"",IF(c_inst=1,(c_first_gy+275)&amp;"/"&amp;RIGHT(c_first_gy+276,2),IF(c_inst=2,(c_first_gy+INT(275/4))&amp;" Q"&amp;(MOD(275,4)+1),(c_first_gy+INT(275/12))&amp;"-"&amp;RIGHT("0"&amp;(MOD(275,12)+1),2))))</f>
        <v/>
      </c>
    </row>
    <row r="283">
      <c r="A283" t="inlineStr">
        <is>
          <t>sa_id</t>
        </is>
      </c>
      <c r="B283">
        <f>c_id1</f>
        <v/>
      </c>
      <c r="D283" s="3" t="inlineStr">
        <is>
          <t>sa_k</t>
        </is>
      </c>
      <c r="E283" s="3" t="inlineStr">
        <is>
          <t>sa_present</t>
        </is>
      </c>
      <c r="F283" s="3" t="inlineStr">
        <is>
          <t>sa_trow</t>
        </is>
      </c>
      <c r="G283" s="3" t="inlineStr">
        <is>
          <t>sa_first</t>
        </is>
      </c>
      <c r="H283" s="3" t="inlineStr">
        <is>
          <t>sa_last</t>
        </is>
      </c>
      <c r="I283" s="3" t="inlineStr">
        <is>
          <t>sa_vfrom</t>
        </is>
      </c>
      <c r="J283" s="3" t="inlineStr">
        <is>
          <t>sa_open</t>
        </is>
      </c>
      <c r="K283" s="3" t="inlineStr">
        <is>
          <t>sa_raw</t>
        </is>
      </c>
      <c r="L283" s="3" t="inlineStr">
        <is>
          <t>sa_cell</t>
        </is>
      </c>
      <c r="M283" s="3" t="inlineStr">
        <is>
          <t>sa_overlap</t>
        </is>
      </c>
      <c r="N283" s="3" t="inlineStr">
        <is>
          <t>sa_distinct</t>
        </is>
      </c>
      <c r="O283" s="3" t="inlineStr">
        <is>
          <t>sa_ptext</t>
        </is>
      </c>
      <c r="P283" s="3" t="inlineStr">
        <is>
          <t>sa_parttext</t>
        </is>
      </c>
      <c r="Q283" s="3" t="inlineStr">
        <is>
          <t>sa_miss</t>
        </is>
      </c>
      <c r="S283" s="3" t="inlineStr">
        <is>
          <t>sa_m_j</t>
        </is>
      </c>
      <c r="T283" s="3" t="inlineStr">
        <is>
          <t>sa_m_present</t>
        </is>
      </c>
      <c r="U283" s="3" t="inlineStr">
        <is>
          <t>sa_m_first</t>
        </is>
      </c>
      <c r="V283" s="3" t="inlineStr">
        <is>
          <t>sa_m_last</t>
        </is>
      </c>
      <c r="W283" s="3" t="inlineStr">
        <is>
          <t>sa_m_days</t>
        </is>
      </c>
      <c r="X283" s="3" t="inlineStr">
        <is>
          <t>sa_m_price</t>
        </is>
      </c>
      <c r="Y283" s="3" t="inlineStr">
        <is>
          <t>sa_m_wraw</t>
        </is>
      </c>
      <c r="Z283" s="3" t="inlineStr">
        <is>
          <t>sa_m_w</t>
        </is>
      </c>
      <c r="AA283" s="3" t="inlineStr">
        <is>
          <t>sa_m_share</t>
        </is>
      </c>
      <c r="AB283" s="3" t="inlineStr">
        <is>
          <t>sa_m_floor</t>
        </is>
      </c>
      <c r="AC283" s="3" t="inlineStr">
        <is>
          <t>sa_m_frac</t>
        </is>
      </c>
      <c r="AD283" s="3" t="inlineStr">
        <is>
          <t>sa_m_rank</t>
        </is>
      </c>
      <c r="AE283" s="3" t="inlineStr">
        <is>
          <t>sa_m_minor</t>
        </is>
      </c>
      <c r="AF283" s="3" t="inlineStr">
        <is>
          <t>sa_m_label</t>
        </is>
      </c>
      <c r="AG283" s="3" t="inlineStr">
        <is>
          <t>sa_m_amount</t>
        </is>
      </c>
      <c r="AI283" s="3" t="inlineStr">
        <is>
          <t>sa_grid_1</t>
        </is>
      </c>
      <c r="AJ283" s="3" t="inlineStr">
        <is>
          <t>sa_grid_2</t>
        </is>
      </c>
      <c r="AK283" s="3" t="inlineStr">
        <is>
          <t>sa_grid_3</t>
        </is>
      </c>
      <c r="AL283" s="3" t="inlineStr">
        <is>
          <t>sa_grid_4</t>
        </is>
      </c>
      <c r="AM283" s="3" t="inlineStr">
        <is>
          <t>sa_grid_5</t>
        </is>
      </c>
      <c r="AN283" s="3" t="inlineStr">
        <is>
          <t>sa_grid_6</t>
        </is>
      </c>
      <c r="AO283" s="3" t="inlineStr">
        <is>
          <t>sa_grid_7</t>
        </is>
      </c>
      <c r="AP283" s="3" t="inlineStr">
        <is>
          <t>sa_grid_8</t>
        </is>
      </c>
      <c r="AQ283" s="3" t="inlineStr">
        <is>
          <t>sa_grid_9</t>
        </is>
      </c>
      <c r="AR283" s="3" t="inlineStr">
        <is>
          <t>sa_grid_10</t>
        </is>
      </c>
      <c r="AS283" s="3" t="inlineStr">
        <is>
          <t>sa_grid_11</t>
        </is>
      </c>
      <c r="AT283" s="3" t="inlineStr">
        <is>
          <t>sa_grid_12</t>
        </is>
      </c>
    </row>
    <row r="284">
      <c r="A284" t="inlineStr">
        <is>
          <t>sa_has</t>
        </is>
      </c>
      <c r="B284">
        <f>ISNUMBER(sa_id)</f>
        <v/>
      </c>
      <c r="D284" t="n">
        <v>1</v>
      </c>
      <c r="E284">
        <f>IF(AND(sa_has,1&lt;=sa_count),1,0)</f>
        <v/>
      </c>
      <c r="F284">
        <f>IF(E284=1,sa_frow+0,0)</f>
        <v/>
      </c>
      <c r="G284">
        <f>IF(E284=1,INDEX(Tariffs!$B:$B,F284),0)</f>
        <v/>
      </c>
      <c r="H284">
        <f>IF(E284=1,INDEX(Tariffs!$C:$C,F284),0)</f>
        <v/>
      </c>
      <c r="I284">
        <f>IF(E284=1,INDEX(Tariffs!$D:$D,F284),0)</f>
        <v/>
      </c>
      <c r="J284">
        <f>IF(E284=1,INDEX(Tariffs!$E:$E,F284)=1,FALSE)</f>
        <v/>
      </c>
      <c r="K284">
        <f>IF(E284=1,INDEX(Tariffs!$G:$AI,F284,sa_col),0)</f>
        <v/>
      </c>
      <c r="L284">
        <f>IF(sa_tdec="",K284,ROUND(K284,sa_tdec))</f>
        <v/>
      </c>
      <c r="M284">
        <f>IF(AND(sa_ready,E284=1),MAX(0,MIN(H284,c_end)-MAX(G284,c_start)+1),0)</f>
        <v/>
      </c>
      <c r="N284">
        <f>M284&gt;0</f>
        <v/>
      </c>
      <c r="O284">
        <f>IF(N284,FIXED(L284,4,TRUE),"")</f>
        <v/>
      </c>
      <c r="P284">
        <f>IF(M284&gt;0,"from "&amp;YEAR(I284)&amp;"-"&amp;RIGHT("0"&amp;MONTH(I284),2)&amp;"-"&amp;RIGHT("0"&amp;DAY(I284),2)&amp;IF(J284," (open-ended)","")&amp;IF(sa_nparts&gt;1," for "&amp;YEAR(MAX(G284,c_start))&amp;"-"&amp;RIGHT("0"&amp;MONTH(MAX(G284,c_start)),2)&amp;"-"&amp;RIGHT("0"&amp;DAY(MAX(G284,c_start)),2)&amp;IF(MAX(G284,c_start)=MIN(H284,c_end),""," to "&amp;YEAR(MIN(H284,c_end))&amp;"-"&amp;RIGHT("0"&amp;MONTH(MIN(H284,c_end)),2)&amp;"-"&amp;RIGHT("0"&amp;DAY(MIN(H284,c_end)),2)),""),"")</f>
        <v/>
      </c>
      <c r="Q284">
        <f>IF(sa_ready,IF(AND(E284=1,H284+1&gt;=c_start,H284+1&lt;=c_end,SUMPRODUCT(($G$284:$G$291&lt;=H284+1)*($H$284:$H$291&gt;=H284+1)*$E$284:$E$291)=0),H284+1,""),"")</f>
        <v/>
      </c>
      <c r="S284" t="n">
        <v>1</v>
      </c>
      <c r="T284">
        <f>IF(AND(sa_ready,1&lt;=sa_nmonths),1,0)</f>
        <v/>
      </c>
      <c r="U284">
        <f>IF(T284=1,MAX(c_start,DATE(YEAR(c_start),MONTH(c_start)+0,1)),0)</f>
        <v/>
      </c>
      <c r="V284">
        <f>IF(T284=1,MIN(c_end,DATE(YEAR(c_start),MONTH(c_start)+1,0)),0)</f>
        <v/>
      </c>
      <c r="W284">
        <f>IF(T284=1,V284-U284+1,0)</f>
        <v/>
      </c>
      <c r="X284">
        <f>IF(T284=1,SUMPRODUCT($L$284:$L$291,$AI$284:$AI$291)/W284,0)</f>
        <v/>
      </c>
      <c r="Y284">
        <f>IF(T284=1,IF(sa_equal,X284,X284*W284),0)</f>
        <v/>
      </c>
      <c r="Z284">
        <f>IF(sa_wraw_sum=0,W284,Y284)</f>
        <v/>
      </c>
      <c r="AA284">
        <f>IF(AND(T284=1,sa_wsum&gt;0),ROUND(sa_total_minor*Z284/sa_wsum,6),0)</f>
        <v/>
      </c>
      <c r="AB284">
        <f>INT(AA284)</f>
        <v/>
      </c>
      <c r="AC284">
        <f>IF(T284=1,ROUND(AA284-AB284,6),-1)</f>
        <v/>
      </c>
      <c r="AD284">
        <f>IF(T284=1,1+SUMPRODUCT(($AC$284:$AC$295&gt;AC284)*1),0)</f>
        <v/>
      </c>
      <c r="AE284">
        <f>IF(T284=1,AB284+IF(AD284&lt;=sa_leftover,1,0),0)</f>
        <v/>
      </c>
      <c r="AF284">
        <f>IF(T284=1,YEAR(U284)&amp;"-"&amp;RIGHT("0"&amp;MONTH(U284),2),"")</f>
        <v/>
      </c>
      <c r="AG284">
        <f>IF(T284=1,AE284/10^sa_curdec,"")</f>
        <v/>
      </c>
      <c r="AI284">
        <f>IF(AND(E284=1,$T$284=1),MAX(0,MIN(H284,$V$284)-MAX(G284,$U$284)+1),0)</f>
        <v/>
      </c>
      <c r="AJ284">
        <f>IF(AND(E284=1,$T$285=1),MAX(0,MIN(H284,$V$285)-MAX(G284,$U$285)+1),0)</f>
        <v/>
      </c>
      <c r="AK284">
        <f>IF(AND(E284=1,$T$286=1),MAX(0,MIN(H284,$V$286)-MAX(G284,$U$286)+1),0)</f>
        <v/>
      </c>
      <c r="AL284">
        <f>IF(AND(E284=1,$T$287=1),MAX(0,MIN(H284,$V$287)-MAX(G284,$U$287)+1),0)</f>
        <v/>
      </c>
      <c r="AM284">
        <f>IF(AND(E284=1,$T$288=1),MAX(0,MIN(H284,$V$288)-MAX(G284,$U$288)+1),0)</f>
        <v/>
      </c>
      <c r="AN284">
        <f>IF(AND(E284=1,$T$289=1),MAX(0,MIN(H284,$V$289)-MAX(G284,$U$289)+1),0)</f>
        <v/>
      </c>
      <c r="AO284">
        <f>IF(AND(E284=1,$T$290=1),MAX(0,MIN(H284,$V$290)-MAX(G284,$U$290)+1),0)</f>
        <v/>
      </c>
      <c r="AP284">
        <f>IF(AND(E284=1,$T$291=1),MAX(0,MIN(H284,$V$291)-MAX(G284,$U$291)+1),0)</f>
        <v/>
      </c>
      <c r="AQ284">
        <f>IF(AND(E284=1,$T$292=1),MAX(0,MIN(H284,$V$292)-MAX(G284,$U$292)+1),0)</f>
        <v/>
      </c>
      <c r="AR284">
        <f>IF(AND(E284=1,$T$293=1),MAX(0,MIN(H284,$V$293)-MAX(G284,$U$293)+1),0)</f>
        <v/>
      </c>
      <c r="AS284">
        <f>IF(AND(E284=1,$T$294=1),MAX(0,MIN(H284,$V$294)-MAX(G284,$U$294)+1),0)</f>
        <v/>
      </c>
      <c r="AT284">
        <f>IF(AND(E284=1,$T$295=1),MAX(0,MIN(H284,$V$295)-MAX(G284,$U$295)+1),0)</f>
        <v/>
      </c>
    </row>
    <row r="285">
      <c r="A285" t="inlineStr">
        <is>
          <t>sa_ready</t>
        </is>
      </c>
      <c r="B285">
        <f>AND(c_inputs_ok,sa_has)</f>
        <v/>
      </c>
      <c r="D285" t="n">
        <v>2</v>
      </c>
      <c r="E285">
        <f>IF(AND(sa_has,2&lt;=sa_count),1,0)</f>
        <v/>
      </c>
      <c r="F285">
        <f>IF(E285=1,sa_frow+1,0)</f>
        <v/>
      </c>
      <c r="G285">
        <f>IF(E285=1,INDEX(Tariffs!$B:$B,F285),0)</f>
        <v/>
      </c>
      <c r="H285">
        <f>IF(E285=1,INDEX(Tariffs!$C:$C,F285),0)</f>
        <v/>
      </c>
      <c r="I285">
        <f>IF(E285=1,INDEX(Tariffs!$D:$D,F285),0)</f>
        <v/>
      </c>
      <c r="J285">
        <f>IF(E285=1,INDEX(Tariffs!$E:$E,F285)=1,FALSE)</f>
        <v/>
      </c>
      <c r="K285">
        <f>IF(E285=1,INDEX(Tariffs!$G:$AI,F285,sa_col),0)</f>
        <v/>
      </c>
      <c r="L285">
        <f>IF(sa_tdec="",K285,ROUND(K285,sa_tdec))</f>
        <v/>
      </c>
      <c r="M285">
        <f>IF(AND(sa_ready,E285=1),MAX(0,MIN(H285,c_end)-MAX(G285,c_start)+1),0)</f>
        <v/>
      </c>
      <c r="N285">
        <f>AND(M285&gt;0,SUMPRODUCT(($L$284:$L284=L285)*($M$284:$M284&gt;0))=0)</f>
        <v/>
      </c>
      <c r="O285">
        <f>IF(N285,FIXED(L285,4,TRUE),"")</f>
        <v/>
      </c>
      <c r="P285">
        <f>IF(M285&gt;0,"from "&amp;YEAR(I285)&amp;"-"&amp;RIGHT("0"&amp;MONTH(I285),2)&amp;"-"&amp;RIGHT("0"&amp;DAY(I285),2)&amp;IF(J285," (open-ended)","")&amp;IF(sa_nparts&gt;1," for "&amp;YEAR(MAX(G285,c_start))&amp;"-"&amp;RIGHT("0"&amp;MONTH(MAX(G285,c_start)),2)&amp;"-"&amp;RIGHT("0"&amp;DAY(MAX(G285,c_start)),2)&amp;IF(MAX(G285,c_start)=MIN(H285,c_end),""," to "&amp;YEAR(MIN(H285,c_end))&amp;"-"&amp;RIGHT("0"&amp;MONTH(MIN(H285,c_end)),2)&amp;"-"&amp;RIGHT("0"&amp;DAY(MIN(H285,c_end)),2)),""),"")</f>
        <v/>
      </c>
      <c r="Q285">
        <f>IF(sa_ready,IF(AND(E285=1,H285+1&gt;=c_start,H285+1&lt;=c_end,SUMPRODUCT(($G$284:$G$291&lt;=H285+1)*($H$284:$H$291&gt;=H285+1)*$E$284:$E$291)=0),H285+1,""),"")</f>
        <v/>
      </c>
      <c r="S285" t="n">
        <v>2</v>
      </c>
      <c r="T285">
        <f>IF(AND(sa_ready,2&lt;=sa_nmonths),1,0)</f>
        <v/>
      </c>
      <c r="U285">
        <f>IF(T285=1,MAX(c_start,DATE(YEAR(c_start),MONTH(c_start)+1,1)),0)</f>
        <v/>
      </c>
      <c r="V285">
        <f>IF(T285=1,MIN(c_end,DATE(YEAR(c_start),MONTH(c_start)+2,0)),0)</f>
        <v/>
      </c>
      <c r="W285">
        <f>IF(T285=1,V285-U285+1,0)</f>
        <v/>
      </c>
      <c r="X285">
        <f>IF(T285=1,SUMPRODUCT($L$284:$L$291,$AJ$284:$AJ$291)/W285,0)</f>
        <v/>
      </c>
      <c r="Y285">
        <f>IF(T285=1,IF(sa_equal,X285,X285*W285),0)</f>
        <v/>
      </c>
      <c r="Z285">
        <f>IF(sa_wraw_sum=0,W285,Y285)</f>
        <v/>
      </c>
      <c r="AA285">
        <f>IF(AND(T285=1,sa_wsum&gt;0),ROUND(sa_total_minor*Z285/sa_wsum,6),0)</f>
        <v/>
      </c>
      <c r="AB285">
        <f>INT(AA285)</f>
        <v/>
      </c>
      <c r="AC285">
        <f>IF(T285=1,ROUND(AA285-AB285,6),-1)</f>
        <v/>
      </c>
      <c r="AD285">
        <f>IF(T285=1,1+SUMPRODUCT(($AC$284:$AC$295&gt;AC285)*1)+SUMPRODUCT(($AC$284:$AC284=AC285)*1),0)</f>
        <v/>
      </c>
      <c r="AE285">
        <f>IF(T285=1,AB285+IF(AD285&lt;=sa_leftover,1,0),0)</f>
        <v/>
      </c>
      <c r="AF285">
        <f>IF(T285=1,YEAR(U285)&amp;"-"&amp;RIGHT("0"&amp;MONTH(U285),2),"")</f>
        <v/>
      </c>
      <c r="AG285">
        <f>IF(T285=1,AE285/10^sa_curdec,"")</f>
        <v/>
      </c>
      <c r="AI285">
        <f>IF(AND(E285=1,$T$284=1),MAX(0,MIN(H285,$V$284)-MAX(G285,$U$284)+1),0)</f>
        <v/>
      </c>
      <c r="AJ285">
        <f>IF(AND(E285=1,$T$285=1),MAX(0,MIN(H285,$V$285)-MAX(G285,$U$285)+1),0)</f>
        <v/>
      </c>
      <c r="AK285">
        <f>IF(AND(E285=1,$T$286=1),MAX(0,MIN(H285,$V$286)-MAX(G285,$U$286)+1),0)</f>
        <v/>
      </c>
      <c r="AL285">
        <f>IF(AND(E285=1,$T$287=1),MAX(0,MIN(H285,$V$287)-MAX(G285,$U$287)+1),0)</f>
        <v/>
      </c>
      <c r="AM285">
        <f>IF(AND(E285=1,$T$288=1),MAX(0,MIN(H285,$V$288)-MAX(G285,$U$288)+1),0)</f>
        <v/>
      </c>
      <c r="AN285">
        <f>IF(AND(E285=1,$T$289=1),MAX(0,MIN(H285,$V$289)-MAX(G285,$U$289)+1),0)</f>
        <v/>
      </c>
      <c r="AO285">
        <f>IF(AND(E285=1,$T$290=1),MAX(0,MIN(H285,$V$290)-MAX(G285,$U$290)+1),0)</f>
        <v/>
      </c>
      <c r="AP285">
        <f>IF(AND(E285=1,$T$291=1),MAX(0,MIN(H285,$V$291)-MAX(G285,$U$291)+1),0)</f>
        <v/>
      </c>
      <c r="AQ285">
        <f>IF(AND(E285=1,$T$292=1),MAX(0,MIN(H285,$V$292)-MAX(G285,$U$292)+1),0)</f>
        <v/>
      </c>
      <c r="AR285">
        <f>IF(AND(E285=1,$T$293=1),MAX(0,MIN(H285,$V$293)-MAX(G285,$U$293)+1),0)</f>
        <v/>
      </c>
      <c r="AS285">
        <f>IF(AND(E285=1,$T$294=1),MAX(0,MIN(H285,$V$294)-MAX(G285,$U$294)+1),0)</f>
        <v/>
      </c>
      <c r="AT285">
        <f>IF(AND(E285=1,$T$295=1),MAX(0,MIN(H285,$V$295)-MAX(G285,$U$295)+1),0)</f>
        <v/>
      </c>
    </row>
    <row r="286">
      <c r="A286" t="inlineStr">
        <is>
          <t>sa_tso</t>
        </is>
      </c>
      <c r="B286">
        <f>IF(sa_has,INDEX(pt_tso,sa_id),"")</f>
        <v/>
      </c>
      <c r="D286" t="n">
        <v>3</v>
      </c>
      <c r="E286">
        <f>IF(AND(sa_has,3&lt;=sa_count),1,0)</f>
        <v/>
      </c>
      <c r="F286">
        <f>IF(E286=1,sa_frow+2,0)</f>
        <v/>
      </c>
      <c r="G286">
        <f>IF(E286=1,INDEX(Tariffs!$B:$B,F286),0)</f>
        <v/>
      </c>
      <c r="H286">
        <f>IF(E286=1,INDEX(Tariffs!$C:$C,F286),0)</f>
        <v/>
      </c>
      <c r="I286">
        <f>IF(E286=1,INDEX(Tariffs!$D:$D,F286),0)</f>
        <v/>
      </c>
      <c r="J286">
        <f>IF(E286=1,INDEX(Tariffs!$E:$E,F286)=1,FALSE)</f>
        <v/>
      </c>
      <c r="K286">
        <f>IF(E286=1,INDEX(Tariffs!$G:$AI,F286,sa_col),0)</f>
        <v/>
      </c>
      <c r="L286">
        <f>IF(sa_tdec="",K286,ROUND(K286,sa_tdec))</f>
        <v/>
      </c>
      <c r="M286">
        <f>IF(AND(sa_ready,E286=1),MAX(0,MIN(H286,c_end)-MAX(G286,c_start)+1),0)</f>
        <v/>
      </c>
      <c r="N286">
        <f>AND(M286&gt;0,SUMPRODUCT(($L$284:$L285=L286)*($M$284:$M285&gt;0))=0)</f>
        <v/>
      </c>
      <c r="O286">
        <f>IF(N286,FIXED(L286,4,TRUE),"")</f>
        <v/>
      </c>
      <c r="P286">
        <f>IF(M286&gt;0,"from "&amp;YEAR(I286)&amp;"-"&amp;RIGHT("0"&amp;MONTH(I286),2)&amp;"-"&amp;RIGHT("0"&amp;DAY(I286),2)&amp;IF(J286," (open-ended)","")&amp;IF(sa_nparts&gt;1," for "&amp;YEAR(MAX(G286,c_start))&amp;"-"&amp;RIGHT("0"&amp;MONTH(MAX(G286,c_start)),2)&amp;"-"&amp;RIGHT("0"&amp;DAY(MAX(G286,c_start)),2)&amp;IF(MAX(G286,c_start)=MIN(H286,c_end),""," to "&amp;YEAR(MIN(H286,c_end))&amp;"-"&amp;RIGHT("0"&amp;MONTH(MIN(H286,c_end)),2)&amp;"-"&amp;RIGHT("0"&amp;DAY(MIN(H286,c_end)),2)),""),"")</f>
        <v/>
      </c>
      <c r="Q286">
        <f>IF(sa_ready,IF(AND(E286=1,H286+1&gt;=c_start,H286+1&lt;=c_end,SUMPRODUCT(($G$284:$G$291&lt;=H286+1)*($H$284:$H$291&gt;=H286+1)*$E$284:$E$291)=0),H286+1,""),"")</f>
        <v/>
      </c>
      <c r="S286" t="n">
        <v>3</v>
      </c>
      <c r="T286">
        <f>IF(AND(sa_ready,3&lt;=sa_nmonths),1,0)</f>
        <v/>
      </c>
      <c r="U286">
        <f>IF(T286=1,MAX(c_start,DATE(YEAR(c_start),MONTH(c_start)+2,1)),0)</f>
        <v/>
      </c>
      <c r="V286">
        <f>IF(T286=1,MIN(c_end,DATE(YEAR(c_start),MONTH(c_start)+3,0)),0)</f>
        <v/>
      </c>
      <c r="W286">
        <f>IF(T286=1,V286-U286+1,0)</f>
        <v/>
      </c>
      <c r="X286">
        <f>IF(T286=1,SUMPRODUCT($L$284:$L$291,$AK$284:$AK$291)/W286,0)</f>
        <v/>
      </c>
      <c r="Y286">
        <f>IF(T286=1,IF(sa_equal,X286,X286*W286),0)</f>
        <v/>
      </c>
      <c r="Z286">
        <f>IF(sa_wraw_sum=0,W286,Y286)</f>
        <v/>
      </c>
      <c r="AA286">
        <f>IF(AND(T286=1,sa_wsum&gt;0),ROUND(sa_total_minor*Z286/sa_wsum,6),0)</f>
        <v/>
      </c>
      <c r="AB286">
        <f>INT(AA286)</f>
        <v/>
      </c>
      <c r="AC286">
        <f>IF(T286=1,ROUND(AA286-AB286,6),-1)</f>
        <v/>
      </c>
      <c r="AD286">
        <f>IF(T286=1,1+SUMPRODUCT(($AC$284:$AC$295&gt;AC286)*1)+SUMPRODUCT(($AC$284:$AC285=AC286)*1),0)</f>
        <v/>
      </c>
      <c r="AE286">
        <f>IF(T286=1,AB286+IF(AD286&lt;=sa_leftover,1,0),0)</f>
        <v/>
      </c>
      <c r="AF286">
        <f>IF(T286=1,YEAR(U286)&amp;"-"&amp;RIGHT("0"&amp;MONTH(U286),2),"")</f>
        <v/>
      </c>
      <c r="AG286">
        <f>IF(T286=1,AE286/10^sa_curdec,"")</f>
        <v/>
      </c>
      <c r="AI286">
        <f>IF(AND(E286=1,$T$284=1),MAX(0,MIN(H286,$V$284)-MAX(G286,$U$284)+1),0)</f>
        <v/>
      </c>
      <c r="AJ286">
        <f>IF(AND(E286=1,$T$285=1),MAX(0,MIN(H286,$V$285)-MAX(G286,$U$285)+1),0)</f>
        <v/>
      </c>
      <c r="AK286">
        <f>IF(AND(E286=1,$T$286=1),MAX(0,MIN(H286,$V$286)-MAX(G286,$U$286)+1),0)</f>
        <v/>
      </c>
      <c r="AL286">
        <f>IF(AND(E286=1,$T$287=1),MAX(0,MIN(H286,$V$287)-MAX(G286,$U$287)+1),0)</f>
        <v/>
      </c>
      <c r="AM286">
        <f>IF(AND(E286=1,$T$288=1),MAX(0,MIN(H286,$V$288)-MAX(G286,$U$288)+1),0)</f>
        <v/>
      </c>
      <c r="AN286">
        <f>IF(AND(E286=1,$T$289=1),MAX(0,MIN(H286,$V$289)-MAX(G286,$U$289)+1),0)</f>
        <v/>
      </c>
      <c r="AO286">
        <f>IF(AND(E286=1,$T$290=1),MAX(0,MIN(H286,$V$290)-MAX(G286,$U$290)+1),0)</f>
        <v/>
      </c>
      <c r="AP286">
        <f>IF(AND(E286=1,$T$291=1),MAX(0,MIN(H286,$V$291)-MAX(G286,$U$291)+1),0)</f>
        <v/>
      </c>
      <c r="AQ286">
        <f>IF(AND(E286=1,$T$292=1),MAX(0,MIN(H286,$V$292)-MAX(G286,$U$292)+1),0)</f>
        <v/>
      </c>
      <c r="AR286">
        <f>IF(AND(E286=1,$T$293=1),MAX(0,MIN(H286,$V$293)-MAX(G286,$U$293)+1),0)</f>
        <v/>
      </c>
      <c r="AS286">
        <f>IF(AND(E286=1,$T$294=1),MAX(0,MIN(H286,$V$294)-MAX(G286,$U$294)+1),0)</f>
        <v/>
      </c>
      <c r="AT286">
        <f>IF(AND(E286=1,$T$295=1),MAX(0,MIN(H286,$V$295)-MAX(G286,$U$295)+1),0)</f>
        <v/>
      </c>
    </row>
    <row r="287">
      <c r="A287" t="inlineStr">
        <is>
          <t>sa_tso_name</t>
        </is>
      </c>
      <c r="B287">
        <f>IF(sa_has,INDEX(pt_tso_name,sa_id),"")</f>
        <v/>
      </c>
      <c r="D287" t="n">
        <v>4</v>
      </c>
      <c r="E287">
        <f>IF(AND(sa_has,4&lt;=sa_count),1,0)</f>
        <v/>
      </c>
      <c r="F287">
        <f>IF(E287=1,sa_frow+3,0)</f>
        <v/>
      </c>
      <c r="G287">
        <f>IF(E287=1,INDEX(Tariffs!$B:$B,F287),0)</f>
        <v/>
      </c>
      <c r="H287">
        <f>IF(E287=1,INDEX(Tariffs!$C:$C,F287),0)</f>
        <v/>
      </c>
      <c r="I287">
        <f>IF(E287=1,INDEX(Tariffs!$D:$D,F287),0)</f>
        <v/>
      </c>
      <c r="J287">
        <f>IF(E287=1,INDEX(Tariffs!$E:$E,F287)=1,FALSE)</f>
        <v/>
      </c>
      <c r="K287">
        <f>IF(E287=1,INDEX(Tariffs!$G:$AI,F287,sa_col),0)</f>
        <v/>
      </c>
      <c r="L287">
        <f>IF(sa_tdec="",K287,ROUND(K287,sa_tdec))</f>
        <v/>
      </c>
      <c r="M287">
        <f>IF(AND(sa_ready,E287=1),MAX(0,MIN(H287,c_end)-MAX(G287,c_start)+1),0)</f>
        <v/>
      </c>
      <c r="N287">
        <f>AND(M287&gt;0,SUMPRODUCT(($L$284:$L286=L287)*($M$284:$M286&gt;0))=0)</f>
        <v/>
      </c>
      <c r="O287">
        <f>IF(N287,FIXED(L287,4,TRUE),"")</f>
        <v/>
      </c>
      <c r="P287">
        <f>IF(M287&gt;0,"from "&amp;YEAR(I287)&amp;"-"&amp;RIGHT("0"&amp;MONTH(I287),2)&amp;"-"&amp;RIGHT("0"&amp;DAY(I287),2)&amp;IF(J287," (open-ended)","")&amp;IF(sa_nparts&gt;1," for "&amp;YEAR(MAX(G287,c_start))&amp;"-"&amp;RIGHT("0"&amp;MONTH(MAX(G287,c_start)),2)&amp;"-"&amp;RIGHT("0"&amp;DAY(MAX(G287,c_start)),2)&amp;IF(MAX(G287,c_start)=MIN(H287,c_end),""," to "&amp;YEAR(MIN(H287,c_end))&amp;"-"&amp;RIGHT("0"&amp;MONTH(MIN(H287,c_end)),2)&amp;"-"&amp;RIGHT("0"&amp;DAY(MIN(H287,c_end)),2)),""),"")</f>
        <v/>
      </c>
      <c r="Q287">
        <f>IF(sa_ready,IF(AND(E287=1,H287+1&gt;=c_start,H287+1&lt;=c_end,SUMPRODUCT(($G$284:$G$291&lt;=H287+1)*($H$284:$H$291&gt;=H287+1)*$E$284:$E$291)=0),H287+1,""),"")</f>
        <v/>
      </c>
      <c r="S287" t="n">
        <v>4</v>
      </c>
      <c r="T287">
        <f>IF(AND(sa_ready,4&lt;=sa_nmonths),1,0)</f>
        <v/>
      </c>
      <c r="U287">
        <f>IF(T287=1,MAX(c_start,DATE(YEAR(c_start),MONTH(c_start)+3,1)),0)</f>
        <v/>
      </c>
      <c r="V287">
        <f>IF(T287=1,MIN(c_end,DATE(YEAR(c_start),MONTH(c_start)+4,0)),0)</f>
        <v/>
      </c>
      <c r="W287">
        <f>IF(T287=1,V287-U287+1,0)</f>
        <v/>
      </c>
      <c r="X287">
        <f>IF(T287=1,SUMPRODUCT($L$284:$L$291,$AL$284:$AL$291)/W287,0)</f>
        <v/>
      </c>
      <c r="Y287">
        <f>IF(T287=1,IF(sa_equal,X287,X287*W287),0)</f>
        <v/>
      </c>
      <c r="Z287">
        <f>IF(sa_wraw_sum=0,W287,Y287)</f>
        <v/>
      </c>
      <c r="AA287">
        <f>IF(AND(T287=1,sa_wsum&gt;0),ROUND(sa_total_minor*Z287/sa_wsum,6),0)</f>
        <v/>
      </c>
      <c r="AB287">
        <f>INT(AA287)</f>
        <v/>
      </c>
      <c r="AC287">
        <f>IF(T287=1,ROUND(AA287-AB287,6),-1)</f>
        <v/>
      </c>
      <c r="AD287">
        <f>IF(T287=1,1+SUMPRODUCT(($AC$284:$AC$295&gt;AC287)*1)+SUMPRODUCT(($AC$284:$AC286=AC287)*1),0)</f>
        <v/>
      </c>
      <c r="AE287">
        <f>IF(T287=1,AB287+IF(AD287&lt;=sa_leftover,1,0),0)</f>
        <v/>
      </c>
      <c r="AF287">
        <f>IF(T287=1,YEAR(U287)&amp;"-"&amp;RIGHT("0"&amp;MONTH(U287),2),"")</f>
        <v/>
      </c>
      <c r="AG287">
        <f>IF(T287=1,AE287/10^sa_curdec,"")</f>
        <v/>
      </c>
      <c r="AI287">
        <f>IF(AND(E287=1,$T$284=1),MAX(0,MIN(H287,$V$284)-MAX(G287,$U$284)+1),0)</f>
        <v/>
      </c>
      <c r="AJ287">
        <f>IF(AND(E287=1,$T$285=1),MAX(0,MIN(H287,$V$285)-MAX(G287,$U$285)+1),0)</f>
        <v/>
      </c>
      <c r="AK287">
        <f>IF(AND(E287=1,$T$286=1),MAX(0,MIN(H287,$V$286)-MAX(G287,$U$286)+1),0)</f>
        <v/>
      </c>
      <c r="AL287">
        <f>IF(AND(E287=1,$T$287=1),MAX(0,MIN(H287,$V$287)-MAX(G287,$U$287)+1),0)</f>
        <v/>
      </c>
      <c r="AM287">
        <f>IF(AND(E287=1,$T$288=1),MAX(0,MIN(H287,$V$288)-MAX(G287,$U$288)+1),0)</f>
        <v/>
      </c>
      <c r="AN287">
        <f>IF(AND(E287=1,$T$289=1),MAX(0,MIN(H287,$V$289)-MAX(G287,$U$289)+1),0)</f>
        <v/>
      </c>
      <c r="AO287">
        <f>IF(AND(E287=1,$T$290=1),MAX(0,MIN(H287,$V$290)-MAX(G287,$U$290)+1),0)</f>
        <v/>
      </c>
      <c r="AP287">
        <f>IF(AND(E287=1,$T$291=1),MAX(0,MIN(H287,$V$291)-MAX(G287,$U$291)+1),0)</f>
        <v/>
      </c>
      <c r="AQ287">
        <f>IF(AND(E287=1,$T$292=1),MAX(0,MIN(H287,$V$292)-MAX(G287,$U$292)+1),0)</f>
        <v/>
      </c>
      <c r="AR287">
        <f>IF(AND(E287=1,$T$293=1),MAX(0,MIN(H287,$V$293)-MAX(G287,$U$293)+1),0)</f>
        <v/>
      </c>
      <c r="AS287">
        <f>IF(AND(E287=1,$T$294=1),MAX(0,MIN(H287,$V$294)-MAX(G287,$U$294)+1),0)</f>
        <v/>
      </c>
      <c r="AT287">
        <f>IF(AND(E287=1,$T$295=1),MAX(0,MIN(H287,$V$295)-MAX(G287,$U$295)+1),0)</f>
        <v/>
      </c>
    </row>
    <row r="288">
      <c r="A288" t="inlineStr">
        <is>
          <t>sa_direction</t>
        </is>
      </c>
      <c r="B288">
        <f>IF(sa_has,INDEX(pt_direction,sa_id),"")</f>
        <v/>
      </c>
      <c r="D288" t="n">
        <v>5</v>
      </c>
      <c r="E288">
        <f>IF(AND(sa_has,5&lt;=sa_count),1,0)</f>
        <v/>
      </c>
      <c r="F288">
        <f>IF(E288=1,sa_frow+4,0)</f>
        <v/>
      </c>
      <c r="G288">
        <f>IF(E288=1,INDEX(Tariffs!$B:$B,F288),0)</f>
        <v/>
      </c>
      <c r="H288">
        <f>IF(E288=1,INDEX(Tariffs!$C:$C,F288),0)</f>
        <v/>
      </c>
      <c r="I288">
        <f>IF(E288=1,INDEX(Tariffs!$D:$D,F288),0)</f>
        <v/>
      </c>
      <c r="J288">
        <f>IF(E288=1,INDEX(Tariffs!$E:$E,F288)=1,FALSE)</f>
        <v/>
      </c>
      <c r="K288">
        <f>IF(E288=1,INDEX(Tariffs!$G:$AI,F288,sa_col),0)</f>
        <v/>
      </c>
      <c r="L288">
        <f>IF(sa_tdec="",K288,ROUND(K288,sa_tdec))</f>
        <v/>
      </c>
      <c r="M288">
        <f>IF(AND(sa_ready,E288=1),MAX(0,MIN(H288,c_end)-MAX(G288,c_start)+1),0)</f>
        <v/>
      </c>
      <c r="N288">
        <f>AND(M288&gt;0,SUMPRODUCT(($L$284:$L287=L288)*($M$284:$M287&gt;0))=0)</f>
        <v/>
      </c>
      <c r="O288">
        <f>IF(N288,FIXED(L288,4,TRUE),"")</f>
        <v/>
      </c>
      <c r="P288">
        <f>IF(M288&gt;0,"from "&amp;YEAR(I288)&amp;"-"&amp;RIGHT("0"&amp;MONTH(I288),2)&amp;"-"&amp;RIGHT("0"&amp;DAY(I288),2)&amp;IF(J288," (open-ended)","")&amp;IF(sa_nparts&gt;1," for "&amp;YEAR(MAX(G288,c_start))&amp;"-"&amp;RIGHT("0"&amp;MONTH(MAX(G288,c_start)),2)&amp;"-"&amp;RIGHT("0"&amp;DAY(MAX(G288,c_start)),2)&amp;IF(MAX(G288,c_start)=MIN(H288,c_end),""," to "&amp;YEAR(MIN(H288,c_end))&amp;"-"&amp;RIGHT("0"&amp;MONTH(MIN(H288,c_end)),2)&amp;"-"&amp;RIGHT("0"&amp;DAY(MIN(H288,c_end)),2)),""),"")</f>
        <v/>
      </c>
      <c r="Q288">
        <f>IF(sa_ready,IF(AND(E288=1,H288+1&gt;=c_start,H288+1&lt;=c_end,SUMPRODUCT(($G$284:$G$291&lt;=H288+1)*($H$284:$H$291&gt;=H288+1)*$E$284:$E$291)=0),H288+1,""),"")</f>
        <v/>
      </c>
      <c r="S288" t="n">
        <v>5</v>
      </c>
      <c r="T288">
        <f>IF(AND(sa_ready,5&lt;=sa_nmonths),1,0)</f>
        <v/>
      </c>
      <c r="U288">
        <f>IF(T288=1,MAX(c_start,DATE(YEAR(c_start),MONTH(c_start)+4,1)),0)</f>
        <v/>
      </c>
      <c r="V288">
        <f>IF(T288=1,MIN(c_end,DATE(YEAR(c_start),MONTH(c_start)+5,0)),0)</f>
        <v/>
      </c>
      <c r="W288">
        <f>IF(T288=1,V288-U288+1,0)</f>
        <v/>
      </c>
      <c r="X288">
        <f>IF(T288=1,SUMPRODUCT($L$284:$L$291,$AM$284:$AM$291)/W288,0)</f>
        <v/>
      </c>
      <c r="Y288">
        <f>IF(T288=1,IF(sa_equal,X288,X288*W288),0)</f>
        <v/>
      </c>
      <c r="Z288">
        <f>IF(sa_wraw_sum=0,W288,Y288)</f>
        <v/>
      </c>
      <c r="AA288">
        <f>IF(AND(T288=1,sa_wsum&gt;0),ROUND(sa_total_minor*Z288/sa_wsum,6),0)</f>
        <v/>
      </c>
      <c r="AB288">
        <f>INT(AA288)</f>
        <v/>
      </c>
      <c r="AC288">
        <f>IF(T288=1,ROUND(AA288-AB288,6),-1)</f>
        <v/>
      </c>
      <c r="AD288">
        <f>IF(T288=1,1+SUMPRODUCT(($AC$284:$AC$295&gt;AC288)*1)+SUMPRODUCT(($AC$284:$AC287=AC288)*1),0)</f>
        <v/>
      </c>
      <c r="AE288">
        <f>IF(T288=1,AB288+IF(AD288&lt;=sa_leftover,1,0),0)</f>
        <v/>
      </c>
      <c r="AF288">
        <f>IF(T288=1,YEAR(U288)&amp;"-"&amp;RIGHT("0"&amp;MONTH(U288),2),"")</f>
        <v/>
      </c>
      <c r="AG288">
        <f>IF(T288=1,AE288/10^sa_curdec,"")</f>
        <v/>
      </c>
      <c r="AI288">
        <f>IF(AND(E288=1,$T$284=1),MAX(0,MIN(H288,$V$284)-MAX(G288,$U$284)+1),0)</f>
        <v/>
      </c>
      <c r="AJ288">
        <f>IF(AND(E288=1,$T$285=1),MAX(0,MIN(H288,$V$285)-MAX(G288,$U$285)+1),0)</f>
        <v/>
      </c>
      <c r="AK288">
        <f>IF(AND(E288=1,$T$286=1),MAX(0,MIN(H288,$V$286)-MAX(G288,$U$286)+1),0)</f>
        <v/>
      </c>
      <c r="AL288">
        <f>IF(AND(E288=1,$T$287=1),MAX(0,MIN(H288,$V$287)-MAX(G288,$U$287)+1),0)</f>
        <v/>
      </c>
      <c r="AM288">
        <f>IF(AND(E288=1,$T$288=1),MAX(0,MIN(H288,$V$288)-MAX(G288,$U$288)+1),0)</f>
        <v/>
      </c>
      <c r="AN288">
        <f>IF(AND(E288=1,$T$289=1),MAX(0,MIN(H288,$V$289)-MAX(G288,$U$289)+1),0)</f>
        <v/>
      </c>
      <c r="AO288">
        <f>IF(AND(E288=1,$T$290=1),MAX(0,MIN(H288,$V$290)-MAX(G288,$U$290)+1),0)</f>
        <v/>
      </c>
      <c r="AP288">
        <f>IF(AND(E288=1,$T$291=1),MAX(0,MIN(H288,$V$291)-MAX(G288,$U$291)+1),0)</f>
        <v/>
      </c>
      <c r="AQ288">
        <f>IF(AND(E288=1,$T$292=1),MAX(0,MIN(H288,$V$292)-MAX(G288,$U$292)+1),0)</f>
        <v/>
      </c>
      <c r="AR288">
        <f>IF(AND(E288=1,$T$293=1),MAX(0,MIN(H288,$V$293)-MAX(G288,$U$293)+1),0)</f>
        <v/>
      </c>
      <c r="AS288">
        <f>IF(AND(E288=1,$T$294=1),MAX(0,MIN(H288,$V$294)-MAX(G288,$U$294)+1),0)</f>
        <v/>
      </c>
      <c r="AT288">
        <f>IF(AND(E288=1,$T$295=1),MAX(0,MIN(H288,$V$295)-MAX(G288,$U$295)+1),0)</f>
        <v/>
      </c>
    </row>
    <row r="289">
      <c r="A289" t="inlineStr">
        <is>
          <t>sa_name</t>
        </is>
      </c>
      <c r="B289">
        <f>IF(sa_has,INDEX(pt_name,sa_id),"")</f>
        <v/>
      </c>
      <c r="D289" t="n">
        <v>6</v>
      </c>
      <c r="E289">
        <f>IF(AND(sa_has,6&lt;=sa_count),1,0)</f>
        <v/>
      </c>
      <c r="F289">
        <f>IF(E289=1,sa_frow+5,0)</f>
        <v/>
      </c>
      <c r="G289">
        <f>IF(E289=1,INDEX(Tariffs!$B:$B,F289),0)</f>
        <v/>
      </c>
      <c r="H289">
        <f>IF(E289=1,INDEX(Tariffs!$C:$C,F289),0)</f>
        <v/>
      </c>
      <c r="I289">
        <f>IF(E289=1,INDEX(Tariffs!$D:$D,F289),0)</f>
        <v/>
      </c>
      <c r="J289">
        <f>IF(E289=1,INDEX(Tariffs!$E:$E,F289)=1,FALSE)</f>
        <v/>
      </c>
      <c r="K289">
        <f>IF(E289=1,INDEX(Tariffs!$G:$AI,F289,sa_col),0)</f>
        <v/>
      </c>
      <c r="L289">
        <f>IF(sa_tdec="",K289,ROUND(K289,sa_tdec))</f>
        <v/>
      </c>
      <c r="M289">
        <f>IF(AND(sa_ready,E289=1),MAX(0,MIN(H289,c_end)-MAX(G289,c_start)+1),0)</f>
        <v/>
      </c>
      <c r="N289">
        <f>AND(M289&gt;0,SUMPRODUCT(($L$284:$L288=L289)*($M$284:$M288&gt;0))=0)</f>
        <v/>
      </c>
      <c r="O289">
        <f>IF(N289,FIXED(L289,4,TRUE),"")</f>
        <v/>
      </c>
      <c r="P289">
        <f>IF(M289&gt;0,"from "&amp;YEAR(I289)&amp;"-"&amp;RIGHT("0"&amp;MONTH(I289),2)&amp;"-"&amp;RIGHT("0"&amp;DAY(I289),2)&amp;IF(J289," (open-ended)","")&amp;IF(sa_nparts&gt;1," for "&amp;YEAR(MAX(G289,c_start))&amp;"-"&amp;RIGHT("0"&amp;MONTH(MAX(G289,c_start)),2)&amp;"-"&amp;RIGHT("0"&amp;DAY(MAX(G289,c_start)),2)&amp;IF(MAX(G289,c_start)=MIN(H289,c_end),""," to "&amp;YEAR(MIN(H289,c_end))&amp;"-"&amp;RIGHT("0"&amp;MONTH(MIN(H289,c_end)),2)&amp;"-"&amp;RIGHT("0"&amp;DAY(MIN(H289,c_end)),2)),""),"")</f>
        <v/>
      </c>
      <c r="Q289">
        <f>IF(sa_ready,IF(AND(E289=1,H289+1&gt;=c_start,H289+1&lt;=c_end,SUMPRODUCT(($G$284:$G$291&lt;=H289+1)*($H$284:$H$291&gt;=H289+1)*$E$284:$E$291)=0),H289+1,""),"")</f>
        <v/>
      </c>
      <c r="S289" t="n">
        <v>6</v>
      </c>
      <c r="T289">
        <f>IF(AND(sa_ready,6&lt;=sa_nmonths),1,0)</f>
        <v/>
      </c>
      <c r="U289">
        <f>IF(T289=1,MAX(c_start,DATE(YEAR(c_start),MONTH(c_start)+5,1)),0)</f>
        <v/>
      </c>
      <c r="V289">
        <f>IF(T289=1,MIN(c_end,DATE(YEAR(c_start),MONTH(c_start)+6,0)),0)</f>
        <v/>
      </c>
      <c r="W289">
        <f>IF(T289=1,V289-U289+1,0)</f>
        <v/>
      </c>
      <c r="X289">
        <f>IF(T289=1,SUMPRODUCT($L$284:$L$291,$AN$284:$AN$291)/W289,0)</f>
        <v/>
      </c>
      <c r="Y289">
        <f>IF(T289=1,IF(sa_equal,X289,X289*W289),0)</f>
        <v/>
      </c>
      <c r="Z289">
        <f>IF(sa_wraw_sum=0,W289,Y289)</f>
        <v/>
      </c>
      <c r="AA289">
        <f>IF(AND(T289=1,sa_wsum&gt;0),ROUND(sa_total_minor*Z289/sa_wsum,6),0)</f>
        <v/>
      </c>
      <c r="AB289">
        <f>INT(AA289)</f>
        <v/>
      </c>
      <c r="AC289">
        <f>IF(T289=1,ROUND(AA289-AB289,6),-1)</f>
        <v/>
      </c>
      <c r="AD289">
        <f>IF(T289=1,1+SUMPRODUCT(($AC$284:$AC$295&gt;AC289)*1)+SUMPRODUCT(($AC$284:$AC288=AC289)*1),0)</f>
        <v/>
      </c>
      <c r="AE289">
        <f>IF(T289=1,AB289+IF(AD289&lt;=sa_leftover,1,0),0)</f>
        <v/>
      </c>
      <c r="AF289">
        <f>IF(T289=1,YEAR(U289)&amp;"-"&amp;RIGHT("0"&amp;MONTH(U289),2),"")</f>
        <v/>
      </c>
      <c r="AG289">
        <f>IF(T289=1,AE289/10^sa_curdec,"")</f>
        <v/>
      </c>
      <c r="AI289">
        <f>IF(AND(E289=1,$T$284=1),MAX(0,MIN(H289,$V$284)-MAX(G289,$U$284)+1),0)</f>
        <v/>
      </c>
      <c r="AJ289">
        <f>IF(AND(E289=1,$T$285=1),MAX(0,MIN(H289,$V$285)-MAX(G289,$U$285)+1),0)</f>
        <v/>
      </c>
      <c r="AK289">
        <f>IF(AND(E289=1,$T$286=1),MAX(0,MIN(H289,$V$286)-MAX(G289,$U$286)+1),0)</f>
        <v/>
      </c>
      <c r="AL289">
        <f>IF(AND(E289=1,$T$287=1),MAX(0,MIN(H289,$V$287)-MAX(G289,$U$287)+1),0)</f>
        <v/>
      </c>
      <c r="AM289">
        <f>IF(AND(E289=1,$T$288=1),MAX(0,MIN(H289,$V$288)-MAX(G289,$U$288)+1),0)</f>
        <v/>
      </c>
      <c r="AN289">
        <f>IF(AND(E289=1,$T$289=1),MAX(0,MIN(H289,$V$289)-MAX(G289,$U$289)+1),0)</f>
        <v/>
      </c>
      <c r="AO289">
        <f>IF(AND(E289=1,$T$290=1),MAX(0,MIN(H289,$V$290)-MAX(G289,$U$290)+1),0)</f>
        <v/>
      </c>
      <c r="AP289">
        <f>IF(AND(E289=1,$T$291=1),MAX(0,MIN(H289,$V$291)-MAX(G289,$U$291)+1),0)</f>
        <v/>
      </c>
      <c r="AQ289">
        <f>IF(AND(E289=1,$T$292=1),MAX(0,MIN(H289,$V$292)-MAX(G289,$U$292)+1),0)</f>
        <v/>
      </c>
      <c r="AR289">
        <f>IF(AND(E289=1,$T$293=1),MAX(0,MIN(H289,$V$293)-MAX(G289,$U$293)+1),0)</f>
        <v/>
      </c>
      <c r="AS289">
        <f>IF(AND(E289=1,$T$294=1),MAX(0,MIN(H289,$V$294)-MAX(G289,$U$294)+1),0)</f>
        <v/>
      </c>
      <c r="AT289">
        <f>IF(AND(E289=1,$T$295=1),MAX(0,MIN(H289,$V$295)-MAX(G289,$U$295)+1),0)</f>
        <v/>
      </c>
    </row>
    <row r="290">
      <c r="A290" t="inlineStr">
        <is>
          <t>sa_currency</t>
        </is>
      </c>
      <c r="B290">
        <f>IF(sa_has,INDEX(pt_currency,sa_id),"")</f>
        <v/>
      </c>
      <c r="D290" t="n">
        <v>7</v>
      </c>
      <c r="E290">
        <f>IF(AND(sa_has,7&lt;=sa_count),1,0)</f>
        <v/>
      </c>
      <c r="F290">
        <f>IF(E290=1,sa_frow+6,0)</f>
        <v/>
      </c>
      <c r="G290">
        <f>IF(E290=1,INDEX(Tariffs!$B:$B,F290),0)</f>
        <v/>
      </c>
      <c r="H290">
        <f>IF(E290=1,INDEX(Tariffs!$C:$C,F290),0)</f>
        <v/>
      </c>
      <c r="I290">
        <f>IF(E290=1,INDEX(Tariffs!$D:$D,F290),0)</f>
        <v/>
      </c>
      <c r="J290">
        <f>IF(E290=1,INDEX(Tariffs!$E:$E,F290)=1,FALSE)</f>
        <v/>
      </c>
      <c r="K290">
        <f>IF(E290=1,INDEX(Tariffs!$G:$AI,F290,sa_col),0)</f>
        <v/>
      </c>
      <c r="L290">
        <f>IF(sa_tdec="",K290,ROUND(K290,sa_tdec))</f>
        <v/>
      </c>
      <c r="M290">
        <f>IF(AND(sa_ready,E290=1),MAX(0,MIN(H290,c_end)-MAX(G290,c_start)+1),0)</f>
        <v/>
      </c>
      <c r="N290">
        <f>AND(M290&gt;0,SUMPRODUCT(($L$284:$L289=L290)*($M$284:$M289&gt;0))=0)</f>
        <v/>
      </c>
      <c r="O290">
        <f>IF(N290,FIXED(L290,4,TRUE),"")</f>
        <v/>
      </c>
      <c r="P290">
        <f>IF(M290&gt;0,"from "&amp;YEAR(I290)&amp;"-"&amp;RIGHT("0"&amp;MONTH(I290),2)&amp;"-"&amp;RIGHT("0"&amp;DAY(I290),2)&amp;IF(J290," (open-ended)","")&amp;IF(sa_nparts&gt;1," for "&amp;YEAR(MAX(G290,c_start))&amp;"-"&amp;RIGHT("0"&amp;MONTH(MAX(G290,c_start)),2)&amp;"-"&amp;RIGHT("0"&amp;DAY(MAX(G290,c_start)),2)&amp;IF(MAX(G290,c_start)=MIN(H290,c_end),""," to "&amp;YEAR(MIN(H290,c_end))&amp;"-"&amp;RIGHT("0"&amp;MONTH(MIN(H290,c_end)),2)&amp;"-"&amp;RIGHT("0"&amp;DAY(MIN(H290,c_end)),2)),""),"")</f>
        <v/>
      </c>
      <c r="Q290">
        <f>IF(sa_ready,IF(AND(E290=1,H290+1&gt;=c_start,H290+1&lt;=c_end,SUMPRODUCT(($G$284:$G$291&lt;=H290+1)*($H$284:$H$291&gt;=H290+1)*$E$284:$E$291)=0),H290+1,""),"")</f>
        <v/>
      </c>
      <c r="S290" t="n">
        <v>7</v>
      </c>
      <c r="T290">
        <f>IF(AND(sa_ready,7&lt;=sa_nmonths),1,0)</f>
        <v/>
      </c>
      <c r="U290">
        <f>IF(T290=1,MAX(c_start,DATE(YEAR(c_start),MONTH(c_start)+6,1)),0)</f>
        <v/>
      </c>
      <c r="V290">
        <f>IF(T290=1,MIN(c_end,DATE(YEAR(c_start),MONTH(c_start)+7,0)),0)</f>
        <v/>
      </c>
      <c r="W290">
        <f>IF(T290=1,V290-U290+1,0)</f>
        <v/>
      </c>
      <c r="X290">
        <f>IF(T290=1,SUMPRODUCT($L$284:$L$291,$AO$284:$AO$291)/W290,0)</f>
        <v/>
      </c>
      <c r="Y290">
        <f>IF(T290=1,IF(sa_equal,X290,X290*W290),0)</f>
        <v/>
      </c>
      <c r="Z290">
        <f>IF(sa_wraw_sum=0,W290,Y290)</f>
        <v/>
      </c>
      <c r="AA290">
        <f>IF(AND(T290=1,sa_wsum&gt;0),ROUND(sa_total_minor*Z290/sa_wsum,6),0)</f>
        <v/>
      </c>
      <c r="AB290">
        <f>INT(AA290)</f>
        <v/>
      </c>
      <c r="AC290">
        <f>IF(T290=1,ROUND(AA290-AB290,6),-1)</f>
        <v/>
      </c>
      <c r="AD290">
        <f>IF(T290=1,1+SUMPRODUCT(($AC$284:$AC$295&gt;AC290)*1)+SUMPRODUCT(($AC$284:$AC289=AC290)*1),0)</f>
        <v/>
      </c>
      <c r="AE290">
        <f>IF(T290=1,AB290+IF(AD290&lt;=sa_leftover,1,0),0)</f>
        <v/>
      </c>
      <c r="AF290">
        <f>IF(T290=1,YEAR(U290)&amp;"-"&amp;RIGHT("0"&amp;MONTH(U290),2),"")</f>
        <v/>
      </c>
      <c r="AG290">
        <f>IF(T290=1,AE290/10^sa_curdec,"")</f>
        <v/>
      </c>
      <c r="AI290">
        <f>IF(AND(E290=1,$T$284=1),MAX(0,MIN(H290,$V$284)-MAX(G290,$U$284)+1),0)</f>
        <v/>
      </c>
      <c r="AJ290">
        <f>IF(AND(E290=1,$T$285=1),MAX(0,MIN(H290,$V$285)-MAX(G290,$U$285)+1),0)</f>
        <v/>
      </c>
      <c r="AK290">
        <f>IF(AND(E290=1,$T$286=1),MAX(0,MIN(H290,$V$286)-MAX(G290,$U$286)+1),0)</f>
        <v/>
      </c>
      <c r="AL290">
        <f>IF(AND(E290=1,$T$287=1),MAX(0,MIN(H290,$V$287)-MAX(G290,$U$287)+1),0)</f>
        <v/>
      </c>
      <c r="AM290">
        <f>IF(AND(E290=1,$T$288=1),MAX(0,MIN(H290,$V$288)-MAX(G290,$U$288)+1),0)</f>
        <v/>
      </c>
      <c r="AN290">
        <f>IF(AND(E290=1,$T$289=1),MAX(0,MIN(H290,$V$289)-MAX(G290,$U$289)+1),0)</f>
        <v/>
      </c>
      <c r="AO290">
        <f>IF(AND(E290=1,$T$290=1),MAX(0,MIN(H290,$V$290)-MAX(G290,$U$290)+1),0)</f>
        <v/>
      </c>
      <c r="AP290">
        <f>IF(AND(E290=1,$T$291=1),MAX(0,MIN(H290,$V$291)-MAX(G290,$U$291)+1),0)</f>
        <v/>
      </c>
      <c r="AQ290">
        <f>IF(AND(E290=1,$T$292=1),MAX(0,MIN(H290,$V$292)-MAX(G290,$U$292)+1),0)</f>
        <v/>
      </c>
      <c r="AR290">
        <f>IF(AND(E290=1,$T$293=1),MAX(0,MIN(H290,$V$293)-MAX(G290,$U$293)+1),0)</f>
        <v/>
      </c>
      <c r="AS290">
        <f>IF(AND(E290=1,$T$294=1),MAX(0,MIN(H290,$V$294)-MAX(G290,$U$294)+1),0)</f>
        <v/>
      </c>
      <c r="AT290">
        <f>IF(AND(E290=1,$T$295=1),MAX(0,MIN(H290,$V$295)-MAX(G290,$U$295)+1),0)</f>
        <v/>
      </c>
    </row>
    <row r="291">
      <c r="A291" t="inlineStr">
        <is>
          <t>sa_unit</t>
        </is>
      </c>
      <c r="B291">
        <f>IF(sa_has,INDEX(pt_unit,sa_id),"")</f>
        <v/>
      </c>
      <c r="D291" t="n">
        <v>8</v>
      </c>
      <c r="E291">
        <f>IF(AND(sa_has,8&lt;=sa_count),1,0)</f>
        <v/>
      </c>
      <c r="F291">
        <f>IF(E291=1,sa_frow+7,0)</f>
        <v/>
      </c>
      <c r="G291">
        <f>IF(E291=1,INDEX(Tariffs!$B:$B,F291),0)</f>
        <v/>
      </c>
      <c r="H291">
        <f>IF(E291=1,INDEX(Tariffs!$C:$C,F291),0)</f>
        <v/>
      </c>
      <c r="I291">
        <f>IF(E291=1,INDEX(Tariffs!$D:$D,F291),0)</f>
        <v/>
      </c>
      <c r="J291">
        <f>IF(E291=1,INDEX(Tariffs!$E:$E,F291)=1,FALSE)</f>
        <v/>
      </c>
      <c r="K291">
        <f>IF(E291=1,INDEX(Tariffs!$G:$AI,F291,sa_col),0)</f>
        <v/>
      </c>
      <c r="L291">
        <f>IF(sa_tdec="",K291,ROUND(K291,sa_tdec))</f>
        <v/>
      </c>
      <c r="M291">
        <f>IF(AND(sa_ready,E291=1),MAX(0,MIN(H291,c_end)-MAX(G291,c_start)+1),0)</f>
        <v/>
      </c>
      <c r="N291">
        <f>AND(M291&gt;0,SUMPRODUCT(($L$284:$L290=L291)*($M$284:$M290&gt;0))=0)</f>
        <v/>
      </c>
      <c r="O291">
        <f>IF(N291,FIXED(L291,4,TRUE),"")</f>
        <v/>
      </c>
      <c r="P291">
        <f>IF(M291&gt;0,"from "&amp;YEAR(I291)&amp;"-"&amp;RIGHT("0"&amp;MONTH(I291),2)&amp;"-"&amp;RIGHT("0"&amp;DAY(I291),2)&amp;IF(J291," (open-ended)","")&amp;IF(sa_nparts&gt;1," for "&amp;YEAR(MAX(G291,c_start))&amp;"-"&amp;RIGHT("0"&amp;MONTH(MAX(G291,c_start)),2)&amp;"-"&amp;RIGHT("0"&amp;DAY(MAX(G291,c_start)),2)&amp;IF(MAX(G291,c_start)=MIN(H291,c_end),""," to "&amp;YEAR(MIN(H291,c_end))&amp;"-"&amp;RIGHT("0"&amp;MONTH(MIN(H291,c_end)),2)&amp;"-"&amp;RIGHT("0"&amp;DAY(MIN(H291,c_end)),2)),""),"")</f>
        <v/>
      </c>
      <c r="Q291">
        <f>IF(sa_ready,IF(AND(E291=1,H291+1&gt;=c_start,H291+1&lt;=c_end,SUMPRODUCT(($G$284:$G$291&lt;=H291+1)*($H$284:$H$291&gt;=H291+1)*$E$284:$E$291)=0),H291+1,""),"")</f>
        <v/>
      </c>
      <c r="S291" t="n">
        <v>8</v>
      </c>
      <c r="T291">
        <f>IF(AND(sa_ready,8&lt;=sa_nmonths),1,0)</f>
        <v/>
      </c>
      <c r="U291">
        <f>IF(T291=1,MAX(c_start,DATE(YEAR(c_start),MONTH(c_start)+7,1)),0)</f>
        <v/>
      </c>
      <c r="V291">
        <f>IF(T291=1,MIN(c_end,DATE(YEAR(c_start),MONTH(c_start)+8,0)),0)</f>
        <v/>
      </c>
      <c r="W291">
        <f>IF(T291=1,V291-U291+1,0)</f>
        <v/>
      </c>
      <c r="X291">
        <f>IF(T291=1,SUMPRODUCT($L$284:$L$291,$AP$284:$AP$291)/W291,0)</f>
        <v/>
      </c>
      <c r="Y291">
        <f>IF(T291=1,IF(sa_equal,X291,X291*W291),0)</f>
        <v/>
      </c>
      <c r="Z291">
        <f>IF(sa_wraw_sum=0,W291,Y291)</f>
        <v/>
      </c>
      <c r="AA291">
        <f>IF(AND(T291=1,sa_wsum&gt;0),ROUND(sa_total_minor*Z291/sa_wsum,6),0)</f>
        <v/>
      </c>
      <c r="AB291">
        <f>INT(AA291)</f>
        <v/>
      </c>
      <c r="AC291">
        <f>IF(T291=1,ROUND(AA291-AB291,6),-1)</f>
        <v/>
      </c>
      <c r="AD291">
        <f>IF(T291=1,1+SUMPRODUCT(($AC$284:$AC$295&gt;AC291)*1)+SUMPRODUCT(($AC$284:$AC290=AC291)*1),0)</f>
        <v/>
      </c>
      <c r="AE291">
        <f>IF(T291=1,AB291+IF(AD291&lt;=sa_leftover,1,0),0)</f>
        <v/>
      </c>
      <c r="AF291">
        <f>IF(T291=1,YEAR(U291)&amp;"-"&amp;RIGHT("0"&amp;MONTH(U291),2),"")</f>
        <v/>
      </c>
      <c r="AG291">
        <f>IF(T291=1,AE291/10^sa_curdec,"")</f>
        <v/>
      </c>
      <c r="AI291">
        <f>IF(AND(E291=1,$T$284=1),MAX(0,MIN(H291,$V$284)-MAX(G291,$U$284)+1),0)</f>
        <v/>
      </c>
      <c r="AJ291">
        <f>IF(AND(E291=1,$T$285=1),MAX(0,MIN(H291,$V$285)-MAX(G291,$U$285)+1),0)</f>
        <v/>
      </c>
      <c r="AK291">
        <f>IF(AND(E291=1,$T$286=1),MAX(0,MIN(H291,$V$286)-MAX(G291,$U$286)+1),0)</f>
        <v/>
      </c>
      <c r="AL291">
        <f>IF(AND(E291=1,$T$287=1),MAX(0,MIN(H291,$V$287)-MAX(G291,$U$287)+1),0)</f>
        <v/>
      </c>
      <c r="AM291">
        <f>IF(AND(E291=1,$T$288=1),MAX(0,MIN(H291,$V$288)-MAX(G291,$U$288)+1),0)</f>
        <v/>
      </c>
      <c r="AN291">
        <f>IF(AND(E291=1,$T$289=1),MAX(0,MIN(H291,$V$289)-MAX(G291,$U$289)+1),0)</f>
        <v/>
      </c>
      <c r="AO291">
        <f>IF(AND(E291=1,$T$290=1),MAX(0,MIN(H291,$V$290)-MAX(G291,$U$290)+1),0)</f>
        <v/>
      </c>
      <c r="AP291">
        <f>IF(AND(E291=1,$T$291=1),MAX(0,MIN(H291,$V$291)-MAX(G291,$U$291)+1),0)</f>
        <v/>
      </c>
      <c r="AQ291">
        <f>IF(AND(E291=1,$T$292=1),MAX(0,MIN(H291,$V$292)-MAX(G291,$U$292)+1),0)</f>
        <v/>
      </c>
      <c r="AR291">
        <f>IF(AND(E291=1,$T$293=1),MAX(0,MIN(H291,$V$293)-MAX(G291,$U$293)+1),0)</f>
        <v/>
      </c>
      <c r="AS291">
        <f>IF(AND(E291=1,$T$294=1),MAX(0,MIN(H291,$V$294)-MAX(G291,$U$294)+1),0)</f>
        <v/>
      </c>
      <c r="AT291">
        <f>IF(AND(E291=1,$T$295=1),MAX(0,MIN(H291,$V$295)-MAX(G291,$U$295)+1),0)</f>
        <v/>
      </c>
    </row>
    <row r="292">
      <c r="A292" t="inlineStr">
        <is>
          <t>sa_captype</t>
        </is>
      </c>
      <c r="B292">
        <f>IF(sa_has,INDEX(pt_captype,sa_id),"")</f>
        <v/>
      </c>
      <c r="S292" t="n">
        <v>9</v>
      </c>
      <c r="T292">
        <f>IF(AND(sa_ready,9&lt;=sa_nmonths),1,0)</f>
        <v/>
      </c>
      <c r="U292">
        <f>IF(T292=1,MAX(c_start,DATE(YEAR(c_start),MONTH(c_start)+8,1)),0)</f>
        <v/>
      </c>
      <c r="V292">
        <f>IF(T292=1,MIN(c_end,DATE(YEAR(c_start),MONTH(c_start)+9,0)),0)</f>
        <v/>
      </c>
      <c r="W292">
        <f>IF(T292=1,V292-U292+1,0)</f>
        <v/>
      </c>
      <c r="X292">
        <f>IF(T292=1,SUMPRODUCT($L$284:$L$291,$AQ$284:$AQ$291)/W292,0)</f>
        <v/>
      </c>
      <c r="Y292">
        <f>IF(T292=1,IF(sa_equal,X292,X292*W292),0)</f>
        <v/>
      </c>
      <c r="Z292">
        <f>IF(sa_wraw_sum=0,W292,Y292)</f>
        <v/>
      </c>
      <c r="AA292">
        <f>IF(AND(T292=1,sa_wsum&gt;0),ROUND(sa_total_minor*Z292/sa_wsum,6),0)</f>
        <v/>
      </c>
      <c r="AB292">
        <f>INT(AA292)</f>
        <v/>
      </c>
      <c r="AC292">
        <f>IF(T292=1,ROUND(AA292-AB292,6),-1)</f>
        <v/>
      </c>
      <c r="AD292">
        <f>IF(T292=1,1+SUMPRODUCT(($AC$284:$AC$295&gt;AC292)*1)+SUMPRODUCT(($AC$284:$AC291=AC292)*1),0)</f>
        <v/>
      </c>
      <c r="AE292">
        <f>IF(T292=1,AB292+IF(AD292&lt;=sa_leftover,1,0),0)</f>
        <v/>
      </c>
      <c r="AF292">
        <f>IF(T292=1,YEAR(U292)&amp;"-"&amp;RIGHT("0"&amp;MONTH(U292),2),"")</f>
        <v/>
      </c>
      <c r="AG292">
        <f>IF(T292=1,AE292/10^sa_curdec,"")</f>
        <v/>
      </c>
    </row>
    <row r="293">
      <c r="A293" t="inlineStr">
        <is>
          <t>sa_frow</t>
        </is>
      </c>
      <c r="B293">
        <f>IF(sa_has,INDEX(pt_frow,sa_id),"")</f>
        <v/>
      </c>
      <c r="S293" t="n">
        <v>10</v>
      </c>
      <c r="T293">
        <f>IF(AND(sa_ready,10&lt;=sa_nmonths),1,0)</f>
        <v/>
      </c>
      <c r="U293">
        <f>IF(T293=1,MAX(c_start,DATE(YEAR(c_start),MONTH(c_start)+9,1)),0)</f>
        <v/>
      </c>
      <c r="V293">
        <f>IF(T293=1,MIN(c_end,DATE(YEAR(c_start),MONTH(c_start)+10,0)),0)</f>
        <v/>
      </c>
      <c r="W293">
        <f>IF(T293=1,V293-U293+1,0)</f>
        <v/>
      </c>
      <c r="X293">
        <f>IF(T293=1,SUMPRODUCT($L$284:$L$291,$AR$284:$AR$291)/W293,0)</f>
        <v/>
      </c>
      <c r="Y293">
        <f>IF(T293=1,IF(sa_equal,X293,X293*W293),0)</f>
        <v/>
      </c>
      <c r="Z293">
        <f>IF(sa_wraw_sum=0,W293,Y293)</f>
        <v/>
      </c>
      <c r="AA293">
        <f>IF(AND(T293=1,sa_wsum&gt;0),ROUND(sa_total_minor*Z293/sa_wsum,6),0)</f>
        <v/>
      </c>
      <c r="AB293">
        <f>INT(AA293)</f>
        <v/>
      </c>
      <c r="AC293">
        <f>IF(T293=1,ROUND(AA293-AB293,6),-1)</f>
        <v/>
      </c>
      <c r="AD293">
        <f>IF(T293=1,1+SUMPRODUCT(($AC$284:$AC$295&gt;AC293)*1)+SUMPRODUCT(($AC$284:$AC292=AC293)*1),0)</f>
        <v/>
      </c>
      <c r="AE293">
        <f>IF(T293=1,AB293+IF(AD293&lt;=sa_leftover,1,0),0)</f>
        <v/>
      </c>
      <c r="AF293">
        <f>IF(T293=1,YEAR(U293)&amp;"-"&amp;RIGHT("0"&amp;MONTH(U293),2),"")</f>
        <v/>
      </c>
      <c r="AG293">
        <f>IF(T293=1,AE293/10^sa_curdec,"")</f>
        <v/>
      </c>
    </row>
    <row r="294">
      <c r="A294" t="inlineStr">
        <is>
          <t>sa_count</t>
        </is>
      </c>
      <c r="B294">
        <f>IF(sa_has,INDEX(pt_count,sa_id),"")</f>
        <v/>
      </c>
      <c r="S294" t="n">
        <v>11</v>
      </c>
      <c r="T294">
        <f>IF(AND(sa_ready,11&lt;=sa_nmonths),1,0)</f>
        <v/>
      </c>
      <c r="U294">
        <f>IF(T294=1,MAX(c_start,DATE(YEAR(c_start),MONTH(c_start)+10,1)),0)</f>
        <v/>
      </c>
      <c r="V294">
        <f>IF(T294=1,MIN(c_end,DATE(YEAR(c_start),MONTH(c_start)+11,0)),0)</f>
        <v/>
      </c>
      <c r="W294">
        <f>IF(T294=1,V294-U294+1,0)</f>
        <v/>
      </c>
      <c r="X294">
        <f>IF(T294=1,SUMPRODUCT($L$284:$L$291,$AS$284:$AS$291)/W294,0)</f>
        <v/>
      </c>
      <c r="Y294">
        <f>IF(T294=1,IF(sa_equal,X294,X294*W294),0)</f>
        <v/>
      </c>
      <c r="Z294">
        <f>IF(sa_wraw_sum=0,W294,Y294)</f>
        <v/>
      </c>
      <c r="AA294">
        <f>IF(AND(T294=1,sa_wsum&gt;0),ROUND(sa_total_minor*Z294/sa_wsum,6),0)</f>
        <v/>
      </c>
      <c r="AB294">
        <f>INT(AA294)</f>
        <v/>
      </c>
      <c r="AC294">
        <f>IF(T294=1,ROUND(AA294-AB294,6),-1)</f>
        <v/>
      </c>
      <c r="AD294">
        <f>IF(T294=1,1+SUMPRODUCT(($AC$284:$AC$295&gt;AC294)*1)+SUMPRODUCT(($AC$284:$AC293=AC294)*1),0)</f>
        <v/>
      </c>
      <c r="AE294">
        <f>IF(T294=1,AB294+IF(AD294&lt;=sa_leftover,1,0),0)</f>
        <v/>
      </c>
      <c r="AF294">
        <f>IF(T294=1,YEAR(U294)&amp;"-"&amp;RIGHT("0"&amp;MONTH(U294),2),"")</f>
        <v/>
      </c>
      <c r="AG294">
        <f>IF(T294=1,AE294/10^sa_curdec,"")</f>
        <v/>
      </c>
    </row>
    <row r="295">
      <c r="A295" t="inlineStr">
        <is>
          <t>sa_rule</t>
        </is>
      </c>
      <c r="B295">
        <f>IFERROR(MATCH(sa_tso,rl_code,0),0)</f>
        <v/>
      </c>
      <c r="S295" t="n">
        <v>12</v>
      </c>
      <c r="T295">
        <f>IF(AND(sa_ready,12&lt;=sa_nmonths),1,0)</f>
        <v/>
      </c>
      <c r="U295">
        <f>IF(T295=1,MAX(c_start,DATE(YEAR(c_start),MONTH(c_start)+11,1)),0)</f>
        <v/>
      </c>
      <c r="V295">
        <f>IF(T295=1,MIN(c_end,DATE(YEAR(c_start),MONTH(c_start)+12,0)),0)</f>
        <v/>
      </c>
      <c r="W295">
        <f>IF(T295=1,V295-U295+1,0)</f>
        <v/>
      </c>
      <c r="X295">
        <f>IF(T295=1,SUMPRODUCT($L$284:$L$291,$AT$284:$AT$291)/W295,0)</f>
        <v/>
      </c>
      <c r="Y295">
        <f>IF(T295=1,IF(sa_equal,X295,X295*W295),0)</f>
        <v/>
      </c>
      <c r="Z295">
        <f>IF(sa_wraw_sum=0,W295,Y295)</f>
        <v/>
      </c>
      <c r="AA295">
        <f>IF(AND(T295=1,sa_wsum&gt;0),ROUND(sa_total_minor*Z295/sa_wsum,6),0)</f>
        <v/>
      </c>
      <c r="AB295">
        <f>INT(AA295)</f>
        <v/>
      </c>
      <c r="AC295">
        <f>IF(T295=1,ROUND(AA295-AB295,6),-1)</f>
        <v/>
      </c>
      <c r="AD295">
        <f>IF(T295=1,1+SUMPRODUCT(($AC$284:$AC$295&gt;AC295)*1)+SUMPRODUCT(($AC$284:$AC294=AC295)*1),0)</f>
        <v/>
      </c>
      <c r="AE295">
        <f>IF(T295=1,AB295+IF(AD295&lt;=sa_leftover,1,0),0)</f>
        <v/>
      </c>
      <c r="AF295">
        <f>IF(T295=1,YEAR(U295)&amp;"-"&amp;RIGHT("0"&amp;MONTH(U295),2),"")</f>
        <v/>
      </c>
      <c r="AG295">
        <f>IF(T295=1,AE295/10^sa_curdec,"")</f>
        <v/>
      </c>
    </row>
    <row r="296">
      <c r="A296" t="inlineStr">
        <is>
          <t>sa_curdec</t>
        </is>
      </c>
      <c r="B296">
        <f>IF(sa_rule&gt;0,INDEX(rl_curdec,sa_rule),2)</f>
        <v/>
      </c>
    </row>
    <row r="297">
      <c r="A297" t="inlineStr">
        <is>
          <t>sa_tdec</t>
        </is>
      </c>
      <c r="B297">
        <f>IF(sa_rule=0,"",IF(INDEX(rl_tdec,sa_rule)="","",INDEX(rl_tdec,sa_rule)))</f>
        <v/>
      </c>
    </row>
    <row r="298">
      <c r="A298" t="inlineStr">
        <is>
          <t>sa_equal</t>
        </is>
      </c>
      <c r="B298">
        <f>IF(sa_rule=0,FALSE,IF(c_inst=1,INDEX(rl_eq_gy,sa_rule)="yes",IF(c_inst=2,INDEX(rl_eq_q,sa_rule)="yes",FALSE)))</f>
        <v/>
      </c>
    </row>
    <row r="299">
      <c r="A299" t="inlineStr">
        <is>
          <t>sa_uhours</t>
        </is>
      </c>
      <c r="B299">
        <f>IF(sa_unit="kWh/d",1,24)</f>
        <v/>
      </c>
    </row>
    <row r="300">
      <c r="A300" t="inlineStr">
        <is>
          <t>sa_col</t>
        </is>
      </c>
      <c r="B300">
        <f>IF(NOT(sa_ready),1,CHOOSE(c_inst,1,2+INT((MONTH(c_start)-1)/3),5+MONTH(c_start),17+MONTH(c_start)))</f>
        <v/>
      </c>
    </row>
    <row r="301">
      <c r="A301" t="inlineStr">
        <is>
          <t>sa_colname</t>
        </is>
      </c>
      <c r="B301">
        <f>INDEX(tr_header,sa_col)</f>
        <v/>
      </c>
    </row>
    <row r="302">
      <c r="A302" t="inlineStr">
        <is>
          <t>sa_pdays</t>
        </is>
      </c>
      <c r="B302">
        <f>IF(sa_ready,c_end-c_start+1,0)</f>
        <v/>
      </c>
    </row>
    <row r="303">
      <c r="A303" t="inlineStr">
        <is>
          <t>sa_nmonths</t>
        </is>
      </c>
      <c r="B303">
        <f>IF(sa_ready,(YEAR(c_end)-YEAR(c_start))*12+MONTH(c_end)-MONTH(c_start)+1,0)</f>
        <v/>
      </c>
    </row>
    <row r="304">
      <c r="A304" t="inlineStr">
        <is>
          <t>sa_covered</t>
        </is>
      </c>
      <c r="B304">
        <f>SUM($M$284:$M$291)</f>
        <v/>
      </c>
    </row>
    <row r="305">
      <c r="A305" t="inlineStr">
        <is>
          <t>sa_notariff</t>
        </is>
      </c>
      <c r="B305">
        <f>AND(sa_ready,sa_covered&lt;sa_pdays)</f>
        <v/>
      </c>
    </row>
    <row r="306">
      <c r="A306" t="inlineStr">
        <is>
          <t>sa_miss_start</t>
        </is>
      </c>
      <c r="B306">
        <f>IF(sa_notariff,IF(SUMPRODUCT(($G$284:$G$291&lt;=c_start)*($H$284:$H$291&gt;=c_start)*$E$284:$E$291)=0,c_start,""),"")</f>
        <v/>
      </c>
    </row>
    <row r="307">
      <c r="A307" t="inlineStr">
        <is>
          <t>sa_firstmiss</t>
        </is>
      </c>
      <c r="B307">
        <f>IF(sa_notariff,MIN(sa_miss_start,$Q$284:$Q$291),"")</f>
        <v/>
      </c>
    </row>
    <row r="308">
      <c r="A308" t="inlineStr">
        <is>
          <t>sa_missing_msg</t>
        </is>
      </c>
      <c r="B308">
        <f>IF(sa_notariff,"No tariff exists for "&amp;IF(c_bundle,"the "&amp;sa_tso_name&amp;" "&amp;IF(sa_direction="Exit","exit","entry")&amp;" side ("&amp;sa_name&amp;")",sa_tso_name&amp;" "&amp;sa_name)&amp;" on "&amp;YEAR(sa_firstmiss)&amp;"-"&amp;RIGHT("0"&amp;MONTH(sa_firstmiss),2)&amp;"-"&amp;RIGHT("0"&amp;DAY(sa_firstmiss),2)&amp;".","")</f>
        <v/>
      </c>
    </row>
    <row r="309">
      <c r="A309" t="inlineStr">
        <is>
          <t>sa_show</t>
        </is>
      </c>
      <c r="B309">
        <f>AND(c_ok,sa_has)</f>
        <v/>
      </c>
    </row>
    <row r="310">
      <c r="A310" t="inlineStr">
        <is>
          <t>sa_nparts</t>
        </is>
      </c>
      <c r="B310">
        <f>COUNTIF($M$284:$M$291,"&gt;0")</f>
        <v/>
      </c>
    </row>
    <row r="311">
      <c r="A311" t="inlineStr">
        <is>
          <t>sa_price</t>
        </is>
      </c>
      <c r="B311">
        <f>IF(AND(sa_ready,NOT(sa_notariff)),IF(sa_equal,SUM($X$284:$X$295)/sa_nmonths,SUMPRODUCT($X$284:$X$295,$W$284:$W$295)/sa_pdays),0)</f>
        <v/>
      </c>
    </row>
    <row r="312">
      <c r="A312" t="inlineStr">
        <is>
          <t>sa_capacity</t>
        </is>
      </c>
      <c r="B312">
        <f>c_kwh_d/sa_uhours</f>
        <v/>
      </c>
    </row>
    <row r="313">
      <c r="A313" t="inlineStr">
        <is>
          <t>sa_total</t>
        </is>
      </c>
      <c r="B313">
        <f>ROUND(ROUND(c_kwh_d*sa_price/sa_uhours,sa_curdec+6),sa_curdec)</f>
        <v/>
      </c>
    </row>
    <row r="314">
      <c r="A314" t="inlineStr">
        <is>
          <t>sa_total_minor</t>
        </is>
      </c>
      <c r="B314">
        <f>ROUND(sa_total*10^sa_curdec,0)</f>
        <v/>
      </c>
    </row>
    <row r="315">
      <c r="A315" t="inlineStr">
        <is>
          <t>sa_wraw_sum</t>
        </is>
      </c>
      <c r="B315">
        <f>SUM($Y$284:$Y$295)</f>
        <v/>
      </c>
    </row>
    <row r="316">
      <c r="A316" t="inlineStr">
        <is>
          <t>sa_wsum</t>
        </is>
      </c>
      <c r="B316">
        <f>SUM($Z$284:$Z$295)</f>
        <v/>
      </c>
    </row>
    <row r="317">
      <c r="A317" t="inlineStr">
        <is>
          <t>sa_leftover</t>
        </is>
      </c>
      <c r="B317">
        <f>sa_total_minor-SUM($AB$284:$AB$295)</f>
        <v/>
      </c>
    </row>
    <row r="318">
      <c r="A318" t="inlineStr">
        <is>
          <t>sa_price_text</t>
        </is>
      </c>
      <c r="B318">
        <f>_xlfn.TEXTJOIN(" / ",TRUE,$O$284:$O$291)</f>
        <v/>
      </c>
    </row>
    <row r="319">
      <c r="A319" t="inlineStr">
        <is>
          <t>sa_tariff_used</t>
        </is>
      </c>
      <c r="B319">
        <f>_xlfn.TEXTJOIN("; ",TRUE,$P$284:$P$291)</f>
        <v/>
      </c>
    </row>
    <row r="320">
      <c r="A320" t="inlineStr">
        <is>
          <t>sa_heading</t>
        </is>
      </c>
      <c r="B320">
        <f>IF(c_bundle,sa_tso_name&amp;" "&amp;LOWER(sa_direction)&amp;" "&amp;sa_name,"")</f>
        <v/>
      </c>
    </row>
    <row r="338">
      <c r="A338" t="inlineStr">
        <is>
          <t>sb_id</t>
        </is>
      </c>
      <c r="B338">
        <f>c_id2</f>
        <v/>
      </c>
      <c r="D338" s="3" t="inlineStr">
        <is>
          <t>sb_k</t>
        </is>
      </c>
      <c r="E338" s="3" t="inlineStr">
        <is>
          <t>sb_present</t>
        </is>
      </c>
      <c r="F338" s="3" t="inlineStr">
        <is>
          <t>sb_trow</t>
        </is>
      </c>
      <c r="G338" s="3" t="inlineStr">
        <is>
          <t>sb_first</t>
        </is>
      </c>
      <c r="H338" s="3" t="inlineStr">
        <is>
          <t>sb_last</t>
        </is>
      </c>
      <c r="I338" s="3" t="inlineStr">
        <is>
          <t>sb_vfrom</t>
        </is>
      </c>
      <c r="J338" s="3" t="inlineStr">
        <is>
          <t>sb_open</t>
        </is>
      </c>
      <c r="K338" s="3" t="inlineStr">
        <is>
          <t>sb_raw</t>
        </is>
      </c>
      <c r="L338" s="3" t="inlineStr">
        <is>
          <t>sb_cell</t>
        </is>
      </c>
      <c r="M338" s="3" t="inlineStr">
        <is>
          <t>sb_overlap</t>
        </is>
      </c>
      <c r="N338" s="3" t="inlineStr">
        <is>
          <t>sb_distinct</t>
        </is>
      </c>
      <c r="O338" s="3" t="inlineStr">
        <is>
          <t>sb_ptext</t>
        </is>
      </c>
      <c r="P338" s="3" t="inlineStr">
        <is>
          <t>sb_parttext</t>
        </is>
      </c>
      <c r="Q338" s="3" t="inlineStr">
        <is>
          <t>sb_miss</t>
        </is>
      </c>
      <c r="S338" s="3" t="inlineStr">
        <is>
          <t>sb_m_j</t>
        </is>
      </c>
      <c r="T338" s="3" t="inlineStr">
        <is>
          <t>sb_m_present</t>
        </is>
      </c>
      <c r="U338" s="3" t="inlineStr">
        <is>
          <t>sb_m_first</t>
        </is>
      </c>
      <c r="V338" s="3" t="inlineStr">
        <is>
          <t>sb_m_last</t>
        </is>
      </c>
      <c r="W338" s="3" t="inlineStr">
        <is>
          <t>sb_m_days</t>
        </is>
      </c>
      <c r="X338" s="3" t="inlineStr">
        <is>
          <t>sb_m_price</t>
        </is>
      </c>
      <c r="Y338" s="3" t="inlineStr">
        <is>
          <t>sb_m_wraw</t>
        </is>
      </c>
      <c r="Z338" s="3" t="inlineStr">
        <is>
          <t>sb_m_w</t>
        </is>
      </c>
      <c r="AA338" s="3" t="inlineStr">
        <is>
          <t>sb_m_share</t>
        </is>
      </c>
      <c r="AB338" s="3" t="inlineStr">
        <is>
          <t>sb_m_floor</t>
        </is>
      </c>
      <c r="AC338" s="3" t="inlineStr">
        <is>
          <t>sb_m_frac</t>
        </is>
      </c>
      <c r="AD338" s="3" t="inlineStr">
        <is>
          <t>sb_m_rank</t>
        </is>
      </c>
      <c r="AE338" s="3" t="inlineStr">
        <is>
          <t>sb_m_minor</t>
        </is>
      </c>
      <c r="AF338" s="3" t="inlineStr">
        <is>
          <t>sb_m_label</t>
        </is>
      </c>
      <c r="AG338" s="3" t="inlineStr">
        <is>
          <t>sb_m_amount</t>
        </is>
      </c>
      <c r="AI338" s="3" t="inlineStr">
        <is>
          <t>sb_grid_1</t>
        </is>
      </c>
      <c r="AJ338" s="3" t="inlineStr">
        <is>
          <t>sb_grid_2</t>
        </is>
      </c>
      <c r="AK338" s="3" t="inlineStr">
        <is>
          <t>sb_grid_3</t>
        </is>
      </c>
      <c r="AL338" s="3" t="inlineStr">
        <is>
          <t>sb_grid_4</t>
        </is>
      </c>
      <c r="AM338" s="3" t="inlineStr">
        <is>
          <t>sb_grid_5</t>
        </is>
      </c>
      <c r="AN338" s="3" t="inlineStr">
        <is>
          <t>sb_grid_6</t>
        </is>
      </c>
      <c r="AO338" s="3" t="inlineStr">
        <is>
          <t>sb_grid_7</t>
        </is>
      </c>
      <c r="AP338" s="3" t="inlineStr">
        <is>
          <t>sb_grid_8</t>
        </is>
      </c>
      <c r="AQ338" s="3" t="inlineStr">
        <is>
          <t>sb_grid_9</t>
        </is>
      </c>
      <c r="AR338" s="3" t="inlineStr">
        <is>
          <t>sb_grid_10</t>
        </is>
      </c>
      <c r="AS338" s="3" t="inlineStr">
        <is>
          <t>sb_grid_11</t>
        </is>
      </c>
      <c r="AT338" s="3" t="inlineStr">
        <is>
          <t>sb_grid_12</t>
        </is>
      </c>
    </row>
    <row r="339">
      <c r="A339" t="inlineStr">
        <is>
          <t>sb_has</t>
        </is>
      </c>
      <c r="B339">
        <f>ISNUMBER(sb_id)</f>
        <v/>
      </c>
      <c r="D339" t="n">
        <v>1</v>
      </c>
      <c r="E339">
        <f>IF(AND(sb_has,1&lt;=sb_count),1,0)</f>
        <v/>
      </c>
      <c r="F339">
        <f>IF(E339=1,sb_frow+0,0)</f>
        <v/>
      </c>
      <c r="G339">
        <f>IF(E339=1,INDEX(Tariffs!$B:$B,F339),0)</f>
        <v/>
      </c>
      <c r="H339">
        <f>IF(E339=1,INDEX(Tariffs!$C:$C,F339),0)</f>
        <v/>
      </c>
      <c r="I339">
        <f>IF(E339=1,INDEX(Tariffs!$D:$D,F339),0)</f>
        <v/>
      </c>
      <c r="J339">
        <f>IF(E339=1,INDEX(Tariffs!$E:$E,F339)=1,FALSE)</f>
        <v/>
      </c>
      <c r="K339">
        <f>IF(E339=1,INDEX(Tariffs!$G:$AI,F339,sb_col),0)</f>
        <v/>
      </c>
      <c r="L339">
        <f>IF(sb_tdec="",K339,ROUND(K339,sb_tdec))</f>
        <v/>
      </c>
      <c r="M339">
        <f>IF(AND(sb_ready,E339=1),MAX(0,MIN(H339,c_end)-MAX(G339,c_start)+1),0)</f>
        <v/>
      </c>
      <c r="N339">
        <f>M339&gt;0</f>
        <v/>
      </c>
      <c r="O339">
        <f>IF(N339,FIXED(L339,4,TRUE),"")</f>
        <v/>
      </c>
      <c r="P339">
        <f>IF(M339&gt;0,"from "&amp;YEAR(I339)&amp;"-"&amp;RIGHT("0"&amp;MONTH(I339),2)&amp;"-"&amp;RIGHT("0"&amp;DAY(I339),2)&amp;IF(J339," (open-ended)","")&amp;IF(sb_nparts&gt;1," for "&amp;YEAR(MAX(G339,c_start))&amp;"-"&amp;RIGHT("0"&amp;MONTH(MAX(G339,c_start)),2)&amp;"-"&amp;RIGHT("0"&amp;DAY(MAX(G339,c_start)),2)&amp;IF(MAX(G339,c_start)=MIN(H339,c_end),""," to "&amp;YEAR(MIN(H339,c_end))&amp;"-"&amp;RIGHT("0"&amp;MONTH(MIN(H339,c_end)),2)&amp;"-"&amp;RIGHT("0"&amp;DAY(MIN(H339,c_end)),2)),""),"")</f>
        <v/>
      </c>
      <c r="Q339">
        <f>IF(sb_ready,IF(AND(E339=1,H339+1&gt;=c_start,H339+1&lt;=c_end,SUMPRODUCT(($G$339:$G$346&lt;=H339+1)*($H$339:$H$346&gt;=H339+1)*$E$339:$E$346)=0),H339+1,""),"")</f>
        <v/>
      </c>
      <c r="S339" t="n">
        <v>1</v>
      </c>
      <c r="T339">
        <f>IF(AND(sb_ready,1&lt;=sb_nmonths),1,0)</f>
        <v/>
      </c>
      <c r="U339">
        <f>IF(T339=1,MAX(c_start,DATE(YEAR(c_start),MONTH(c_start)+0,1)),0)</f>
        <v/>
      </c>
      <c r="V339">
        <f>IF(T339=1,MIN(c_end,DATE(YEAR(c_start),MONTH(c_start)+1,0)),0)</f>
        <v/>
      </c>
      <c r="W339">
        <f>IF(T339=1,V339-U339+1,0)</f>
        <v/>
      </c>
      <c r="X339">
        <f>IF(T339=1,SUMPRODUCT($L$339:$L$346,$AI$339:$AI$346)/W339,0)</f>
        <v/>
      </c>
      <c r="Y339">
        <f>IF(T339=1,IF(sb_equal,X339,X339*W339),0)</f>
        <v/>
      </c>
      <c r="Z339">
        <f>IF(sb_wraw_sum=0,W339,Y339)</f>
        <v/>
      </c>
      <c r="AA339">
        <f>IF(AND(T339=1,sb_wsum&gt;0),ROUND(sb_total_minor*Z339/sb_wsum,6),0)</f>
        <v/>
      </c>
      <c r="AB339">
        <f>INT(AA339)</f>
        <v/>
      </c>
      <c r="AC339">
        <f>IF(T339=1,ROUND(AA339-AB339,6),-1)</f>
        <v/>
      </c>
      <c r="AD339">
        <f>IF(T339=1,1+SUMPRODUCT(($AC$339:$AC$350&gt;AC339)*1),0)</f>
        <v/>
      </c>
      <c r="AE339">
        <f>IF(T339=1,AB339+IF(AD339&lt;=sb_leftover,1,0),0)</f>
        <v/>
      </c>
      <c r="AF339">
        <f>IF(T339=1,YEAR(U339)&amp;"-"&amp;RIGHT("0"&amp;MONTH(U339),2),"")</f>
        <v/>
      </c>
      <c r="AG339">
        <f>IF(T339=1,AE339/10^sb_curdec,"")</f>
        <v/>
      </c>
      <c r="AI339">
        <f>IF(AND(E339=1,$T$339=1),MAX(0,MIN(H339,$V$339)-MAX(G339,$U$339)+1),0)</f>
        <v/>
      </c>
      <c r="AJ339">
        <f>IF(AND(E339=1,$T$340=1),MAX(0,MIN(H339,$V$340)-MAX(G339,$U$340)+1),0)</f>
        <v/>
      </c>
      <c r="AK339">
        <f>IF(AND(E339=1,$T$341=1),MAX(0,MIN(H339,$V$341)-MAX(G339,$U$341)+1),0)</f>
        <v/>
      </c>
      <c r="AL339">
        <f>IF(AND(E339=1,$T$342=1),MAX(0,MIN(H339,$V$342)-MAX(G339,$U$342)+1),0)</f>
        <v/>
      </c>
      <c r="AM339">
        <f>IF(AND(E339=1,$T$343=1),MAX(0,MIN(H339,$V$343)-MAX(G339,$U$343)+1),0)</f>
        <v/>
      </c>
      <c r="AN339">
        <f>IF(AND(E339=1,$T$344=1),MAX(0,MIN(H339,$V$344)-MAX(G339,$U$344)+1),0)</f>
        <v/>
      </c>
      <c r="AO339">
        <f>IF(AND(E339=1,$T$345=1),MAX(0,MIN(H339,$V$345)-MAX(G339,$U$345)+1),0)</f>
        <v/>
      </c>
      <c r="AP339">
        <f>IF(AND(E339=1,$T$346=1),MAX(0,MIN(H339,$V$346)-MAX(G339,$U$346)+1),0)</f>
        <v/>
      </c>
      <c r="AQ339">
        <f>IF(AND(E339=1,$T$347=1),MAX(0,MIN(H339,$V$347)-MAX(G339,$U$347)+1),0)</f>
        <v/>
      </c>
      <c r="AR339">
        <f>IF(AND(E339=1,$T$348=1),MAX(0,MIN(H339,$V$348)-MAX(G339,$U$348)+1),0)</f>
        <v/>
      </c>
      <c r="AS339">
        <f>IF(AND(E339=1,$T$349=1),MAX(0,MIN(H339,$V$349)-MAX(G339,$U$349)+1),0)</f>
        <v/>
      </c>
      <c r="AT339">
        <f>IF(AND(E339=1,$T$350=1),MAX(0,MIN(H339,$V$350)-MAX(G339,$U$350)+1),0)</f>
        <v/>
      </c>
    </row>
    <row r="340">
      <c r="A340" t="inlineStr">
        <is>
          <t>sb_ready</t>
        </is>
      </c>
      <c r="B340">
        <f>AND(c_inputs_ok,sb_has)</f>
        <v/>
      </c>
      <c r="D340" t="n">
        <v>2</v>
      </c>
      <c r="E340">
        <f>IF(AND(sb_has,2&lt;=sb_count),1,0)</f>
        <v/>
      </c>
      <c r="F340">
        <f>IF(E340=1,sb_frow+1,0)</f>
        <v/>
      </c>
      <c r="G340">
        <f>IF(E340=1,INDEX(Tariffs!$B:$B,F340),0)</f>
        <v/>
      </c>
      <c r="H340">
        <f>IF(E340=1,INDEX(Tariffs!$C:$C,F340),0)</f>
        <v/>
      </c>
      <c r="I340">
        <f>IF(E340=1,INDEX(Tariffs!$D:$D,F340),0)</f>
        <v/>
      </c>
      <c r="J340">
        <f>IF(E340=1,INDEX(Tariffs!$E:$E,F340)=1,FALSE)</f>
        <v/>
      </c>
      <c r="K340">
        <f>IF(E340=1,INDEX(Tariffs!$G:$AI,F340,sb_col),0)</f>
        <v/>
      </c>
      <c r="L340">
        <f>IF(sb_tdec="",K340,ROUND(K340,sb_tdec))</f>
        <v/>
      </c>
      <c r="M340">
        <f>IF(AND(sb_ready,E340=1),MAX(0,MIN(H340,c_end)-MAX(G340,c_start)+1),0)</f>
        <v/>
      </c>
      <c r="N340">
        <f>AND(M340&gt;0,SUMPRODUCT(($L$339:$L339=L340)*($M$339:$M339&gt;0))=0)</f>
        <v/>
      </c>
      <c r="O340">
        <f>IF(N340,FIXED(L340,4,TRUE),"")</f>
        <v/>
      </c>
      <c r="P340">
        <f>IF(M340&gt;0,"from "&amp;YEAR(I340)&amp;"-"&amp;RIGHT("0"&amp;MONTH(I340),2)&amp;"-"&amp;RIGHT("0"&amp;DAY(I340),2)&amp;IF(J340," (open-ended)","")&amp;IF(sb_nparts&gt;1," for "&amp;YEAR(MAX(G340,c_start))&amp;"-"&amp;RIGHT("0"&amp;MONTH(MAX(G340,c_start)),2)&amp;"-"&amp;RIGHT("0"&amp;DAY(MAX(G340,c_start)),2)&amp;IF(MAX(G340,c_start)=MIN(H340,c_end),""," to "&amp;YEAR(MIN(H340,c_end))&amp;"-"&amp;RIGHT("0"&amp;MONTH(MIN(H340,c_end)),2)&amp;"-"&amp;RIGHT("0"&amp;DAY(MIN(H340,c_end)),2)),""),"")</f>
        <v/>
      </c>
      <c r="Q340">
        <f>IF(sb_ready,IF(AND(E340=1,H340+1&gt;=c_start,H340+1&lt;=c_end,SUMPRODUCT(($G$339:$G$346&lt;=H340+1)*($H$339:$H$346&gt;=H340+1)*$E$339:$E$346)=0),H340+1,""),"")</f>
        <v/>
      </c>
      <c r="S340" t="n">
        <v>2</v>
      </c>
      <c r="T340">
        <f>IF(AND(sb_ready,2&lt;=sb_nmonths),1,0)</f>
        <v/>
      </c>
      <c r="U340">
        <f>IF(T340=1,MAX(c_start,DATE(YEAR(c_start),MONTH(c_start)+1,1)),0)</f>
        <v/>
      </c>
      <c r="V340">
        <f>IF(T340=1,MIN(c_end,DATE(YEAR(c_start),MONTH(c_start)+2,0)),0)</f>
        <v/>
      </c>
      <c r="W340">
        <f>IF(T340=1,V340-U340+1,0)</f>
        <v/>
      </c>
      <c r="X340">
        <f>IF(T340=1,SUMPRODUCT($L$339:$L$346,$AJ$339:$AJ$346)/W340,0)</f>
        <v/>
      </c>
      <c r="Y340">
        <f>IF(T340=1,IF(sb_equal,X340,X340*W340),0)</f>
        <v/>
      </c>
      <c r="Z340">
        <f>IF(sb_wraw_sum=0,W340,Y340)</f>
        <v/>
      </c>
      <c r="AA340">
        <f>IF(AND(T340=1,sb_wsum&gt;0),ROUND(sb_total_minor*Z340/sb_wsum,6),0)</f>
        <v/>
      </c>
      <c r="AB340">
        <f>INT(AA340)</f>
        <v/>
      </c>
      <c r="AC340">
        <f>IF(T340=1,ROUND(AA340-AB340,6),-1)</f>
        <v/>
      </c>
      <c r="AD340">
        <f>IF(T340=1,1+SUMPRODUCT(($AC$339:$AC$350&gt;AC340)*1)+SUMPRODUCT(($AC$339:$AC339=AC340)*1),0)</f>
        <v/>
      </c>
      <c r="AE340">
        <f>IF(T340=1,AB340+IF(AD340&lt;=sb_leftover,1,0),0)</f>
        <v/>
      </c>
      <c r="AF340">
        <f>IF(T340=1,YEAR(U340)&amp;"-"&amp;RIGHT("0"&amp;MONTH(U340),2),"")</f>
        <v/>
      </c>
      <c r="AG340">
        <f>IF(T340=1,AE340/10^sb_curdec,"")</f>
        <v/>
      </c>
      <c r="AI340">
        <f>IF(AND(E340=1,$T$339=1),MAX(0,MIN(H340,$V$339)-MAX(G340,$U$339)+1),0)</f>
        <v/>
      </c>
      <c r="AJ340">
        <f>IF(AND(E340=1,$T$340=1),MAX(0,MIN(H340,$V$340)-MAX(G340,$U$340)+1),0)</f>
        <v/>
      </c>
      <c r="AK340">
        <f>IF(AND(E340=1,$T$341=1),MAX(0,MIN(H340,$V$341)-MAX(G340,$U$341)+1),0)</f>
        <v/>
      </c>
      <c r="AL340">
        <f>IF(AND(E340=1,$T$342=1),MAX(0,MIN(H340,$V$342)-MAX(G340,$U$342)+1),0)</f>
        <v/>
      </c>
      <c r="AM340">
        <f>IF(AND(E340=1,$T$343=1),MAX(0,MIN(H340,$V$343)-MAX(G340,$U$343)+1),0)</f>
        <v/>
      </c>
      <c r="AN340">
        <f>IF(AND(E340=1,$T$344=1),MAX(0,MIN(H340,$V$344)-MAX(G340,$U$344)+1),0)</f>
        <v/>
      </c>
      <c r="AO340">
        <f>IF(AND(E340=1,$T$345=1),MAX(0,MIN(H340,$V$345)-MAX(G340,$U$345)+1),0)</f>
        <v/>
      </c>
      <c r="AP340">
        <f>IF(AND(E340=1,$T$346=1),MAX(0,MIN(H340,$V$346)-MAX(G340,$U$346)+1),0)</f>
        <v/>
      </c>
      <c r="AQ340">
        <f>IF(AND(E340=1,$T$347=1),MAX(0,MIN(H340,$V$347)-MAX(G340,$U$347)+1),0)</f>
        <v/>
      </c>
      <c r="AR340">
        <f>IF(AND(E340=1,$T$348=1),MAX(0,MIN(H340,$V$348)-MAX(G340,$U$348)+1),0)</f>
        <v/>
      </c>
      <c r="AS340">
        <f>IF(AND(E340=1,$T$349=1),MAX(0,MIN(H340,$V$349)-MAX(G340,$U$349)+1),0)</f>
        <v/>
      </c>
      <c r="AT340">
        <f>IF(AND(E340=1,$T$350=1),MAX(0,MIN(H340,$V$350)-MAX(G340,$U$350)+1),0)</f>
        <v/>
      </c>
    </row>
    <row r="341">
      <c r="A341" t="inlineStr">
        <is>
          <t>sb_tso</t>
        </is>
      </c>
      <c r="B341">
        <f>IF(sb_has,INDEX(pt_tso,sb_id),"")</f>
        <v/>
      </c>
      <c r="D341" t="n">
        <v>3</v>
      </c>
      <c r="E341">
        <f>IF(AND(sb_has,3&lt;=sb_count),1,0)</f>
        <v/>
      </c>
      <c r="F341">
        <f>IF(E341=1,sb_frow+2,0)</f>
        <v/>
      </c>
      <c r="G341">
        <f>IF(E341=1,INDEX(Tariffs!$B:$B,F341),0)</f>
        <v/>
      </c>
      <c r="H341">
        <f>IF(E341=1,INDEX(Tariffs!$C:$C,F341),0)</f>
        <v/>
      </c>
      <c r="I341">
        <f>IF(E341=1,INDEX(Tariffs!$D:$D,F341),0)</f>
        <v/>
      </c>
      <c r="J341">
        <f>IF(E341=1,INDEX(Tariffs!$E:$E,F341)=1,FALSE)</f>
        <v/>
      </c>
      <c r="K341">
        <f>IF(E341=1,INDEX(Tariffs!$G:$AI,F341,sb_col),0)</f>
        <v/>
      </c>
      <c r="L341">
        <f>IF(sb_tdec="",K341,ROUND(K341,sb_tdec))</f>
        <v/>
      </c>
      <c r="M341">
        <f>IF(AND(sb_ready,E341=1),MAX(0,MIN(H341,c_end)-MAX(G341,c_start)+1),0)</f>
        <v/>
      </c>
      <c r="N341">
        <f>AND(M341&gt;0,SUMPRODUCT(($L$339:$L340=L341)*($M$339:$M340&gt;0))=0)</f>
        <v/>
      </c>
      <c r="O341">
        <f>IF(N341,FIXED(L341,4,TRUE),"")</f>
        <v/>
      </c>
      <c r="P341">
        <f>IF(M341&gt;0,"from "&amp;YEAR(I341)&amp;"-"&amp;RIGHT("0"&amp;MONTH(I341),2)&amp;"-"&amp;RIGHT("0"&amp;DAY(I341),2)&amp;IF(J341," (open-ended)","")&amp;IF(sb_nparts&gt;1," for "&amp;YEAR(MAX(G341,c_start))&amp;"-"&amp;RIGHT("0"&amp;MONTH(MAX(G341,c_start)),2)&amp;"-"&amp;RIGHT("0"&amp;DAY(MAX(G341,c_start)),2)&amp;IF(MAX(G341,c_start)=MIN(H341,c_end),""," to "&amp;YEAR(MIN(H341,c_end))&amp;"-"&amp;RIGHT("0"&amp;MONTH(MIN(H341,c_end)),2)&amp;"-"&amp;RIGHT("0"&amp;DAY(MIN(H341,c_end)),2)),""),"")</f>
        <v/>
      </c>
      <c r="Q341">
        <f>IF(sb_ready,IF(AND(E341=1,H341+1&gt;=c_start,H341+1&lt;=c_end,SUMPRODUCT(($G$339:$G$346&lt;=H341+1)*($H$339:$H$346&gt;=H341+1)*$E$339:$E$346)=0),H341+1,""),"")</f>
        <v/>
      </c>
      <c r="S341" t="n">
        <v>3</v>
      </c>
      <c r="T341">
        <f>IF(AND(sb_ready,3&lt;=sb_nmonths),1,0)</f>
        <v/>
      </c>
      <c r="U341">
        <f>IF(T341=1,MAX(c_start,DATE(YEAR(c_start),MONTH(c_start)+2,1)),0)</f>
        <v/>
      </c>
      <c r="V341">
        <f>IF(T341=1,MIN(c_end,DATE(YEAR(c_start),MONTH(c_start)+3,0)),0)</f>
        <v/>
      </c>
      <c r="W341">
        <f>IF(T341=1,V341-U341+1,0)</f>
        <v/>
      </c>
      <c r="X341">
        <f>IF(T341=1,SUMPRODUCT($L$339:$L$346,$AK$339:$AK$346)/W341,0)</f>
        <v/>
      </c>
      <c r="Y341">
        <f>IF(T341=1,IF(sb_equal,X341,X341*W341),0)</f>
        <v/>
      </c>
      <c r="Z341">
        <f>IF(sb_wraw_sum=0,W341,Y341)</f>
        <v/>
      </c>
      <c r="AA341">
        <f>IF(AND(T341=1,sb_wsum&gt;0),ROUND(sb_total_minor*Z341/sb_wsum,6),0)</f>
        <v/>
      </c>
      <c r="AB341">
        <f>INT(AA341)</f>
        <v/>
      </c>
      <c r="AC341">
        <f>IF(T341=1,ROUND(AA341-AB341,6),-1)</f>
        <v/>
      </c>
      <c r="AD341">
        <f>IF(T341=1,1+SUMPRODUCT(($AC$339:$AC$350&gt;AC341)*1)+SUMPRODUCT(($AC$339:$AC340=AC341)*1),0)</f>
        <v/>
      </c>
      <c r="AE341">
        <f>IF(T341=1,AB341+IF(AD341&lt;=sb_leftover,1,0),0)</f>
        <v/>
      </c>
      <c r="AF341">
        <f>IF(T341=1,YEAR(U341)&amp;"-"&amp;RIGHT("0"&amp;MONTH(U341),2),"")</f>
        <v/>
      </c>
      <c r="AG341">
        <f>IF(T341=1,AE341/10^sb_curdec,"")</f>
        <v/>
      </c>
      <c r="AI341">
        <f>IF(AND(E341=1,$T$339=1),MAX(0,MIN(H341,$V$339)-MAX(G341,$U$339)+1),0)</f>
        <v/>
      </c>
      <c r="AJ341">
        <f>IF(AND(E341=1,$T$340=1),MAX(0,MIN(H341,$V$340)-MAX(G341,$U$340)+1),0)</f>
        <v/>
      </c>
      <c r="AK341">
        <f>IF(AND(E341=1,$T$341=1),MAX(0,MIN(H341,$V$341)-MAX(G341,$U$341)+1),0)</f>
        <v/>
      </c>
      <c r="AL341">
        <f>IF(AND(E341=1,$T$342=1),MAX(0,MIN(H341,$V$342)-MAX(G341,$U$342)+1),0)</f>
        <v/>
      </c>
      <c r="AM341">
        <f>IF(AND(E341=1,$T$343=1),MAX(0,MIN(H341,$V$343)-MAX(G341,$U$343)+1),0)</f>
        <v/>
      </c>
      <c r="AN341">
        <f>IF(AND(E341=1,$T$344=1),MAX(0,MIN(H341,$V$344)-MAX(G341,$U$344)+1),0)</f>
        <v/>
      </c>
      <c r="AO341">
        <f>IF(AND(E341=1,$T$345=1),MAX(0,MIN(H341,$V$345)-MAX(G341,$U$345)+1),0)</f>
        <v/>
      </c>
      <c r="AP341">
        <f>IF(AND(E341=1,$T$346=1),MAX(0,MIN(H341,$V$346)-MAX(G341,$U$346)+1),0)</f>
        <v/>
      </c>
      <c r="AQ341">
        <f>IF(AND(E341=1,$T$347=1),MAX(0,MIN(H341,$V$347)-MAX(G341,$U$347)+1),0)</f>
        <v/>
      </c>
      <c r="AR341">
        <f>IF(AND(E341=1,$T$348=1),MAX(0,MIN(H341,$V$348)-MAX(G341,$U$348)+1),0)</f>
        <v/>
      </c>
      <c r="AS341">
        <f>IF(AND(E341=1,$T$349=1),MAX(0,MIN(H341,$V$349)-MAX(G341,$U$349)+1),0)</f>
        <v/>
      </c>
      <c r="AT341">
        <f>IF(AND(E341=1,$T$350=1),MAX(0,MIN(H341,$V$350)-MAX(G341,$U$350)+1),0)</f>
        <v/>
      </c>
    </row>
    <row r="342">
      <c r="A342" t="inlineStr">
        <is>
          <t>sb_tso_name</t>
        </is>
      </c>
      <c r="B342">
        <f>IF(sb_has,INDEX(pt_tso_name,sb_id),"")</f>
        <v/>
      </c>
      <c r="D342" t="n">
        <v>4</v>
      </c>
      <c r="E342">
        <f>IF(AND(sb_has,4&lt;=sb_count),1,0)</f>
        <v/>
      </c>
      <c r="F342">
        <f>IF(E342=1,sb_frow+3,0)</f>
        <v/>
      </c>
      <c r="G342">
        <f>IF(E342=1,INDEX(Tariffs!$B:$B,F342),0)</f>
        <v/>
      </c>
      <c r="H342">
        <f>IF(E342=1,INDEX(Tariffs!$C:$C,F342),0)</f>
        <v/>
      </c>
      <c r="I342">
        <f>IF(E342=1,INDEX(Tariffs!$D:$D,F342),0)</f>
        <v/>
      </c>
      <c r="J342">
        <f>IF(E342=1,INDEX(Tariffs!$E:$E,F342)=1,FALSE)</f>
        <v/>
      </c>
      <c r="K342">
        <f>IF(E342=1,INDEX(Tariffs!$G:$AI,F342,sb_col),0)</f>
        <v/>
      </c>
      <c r="L342">
        <f>IF(sb_tdec="",K342,ROUND(K342,sb_tdec))</f>
        <v/>
      </c>
      <c r="M342">
        <f>IF(AND(sb_ready,E342=1),MAX(0,MIN(H342,c_end)-MAX(G342,c_start)+1),0)</f>
        <v/>
      </c>
      <c r="N342">
        <f>AND(M342&gt;0,SUMPRODUCT(($L$339:$L341=L342)*($M$339:$M341&gt;0))=0)</f>
        <v/>
      </c>
      <c r="O342">
        <f>IF(N342,FIXED(L342,4,TRUE),"")</f>
        <v/>
      </c>
      <c r="P342">
        <f>IF(M342&gt;0,"from "&amp;YEAR(I342)&amp;"-"&amp;RIGHT("0"&amp;MONTH(I342),2)&amp;"-"&amp;RIGHT("0"&amp;DAY(I342),2)&amp;IF(J342," (open-ended)","")&amp;IF(sb_nparts&gt;1," for "&amp;YEAR(MAX(G342,c_start))&amp;"-"&amp;RIGHT("0"&amp;MONTH(MAX(G342,c_start)),2)&amp;"-"&amp;RIGHT("0"&amp;DAY(MAX(G342,c_start)),2)&amp;IF(MAX(G342,c_start)=MIN(H342,c_end),""," to "&amp;YEAR(MIN(H342,c_end))&amp;"-"&amp;RIGHT("0"&amp;MONTH(MIN(H342,c_end)),2)&amp;"-"&amp;RIGHT("0"&amp;DAY(MIN(H342,c_end)),2)),""),"")</f>
        <v/>
      </c>
      <c r="Q342">
        <f>IF(sb_ready,IF(AND(E342=1,H342+1&gt;=c_start,H342+1&lt;=c_end,SUMPRODUCT(($G$339:$G$346&lt;=H342+1)*($H$339:$H$346&gt;=H342+1)*$E$339:$E$346)=0),H342+1,""),"")</f>
        <v/>
      </c>
      <c r="S342" t="n">
        <v>4</v>
      </c>
      <c r="T342">
        <f>IF(AND(sb_ready,4&lt;=sb_nmonths),1,0)</f>
        <v/>
      </c>
      <c r="U342">
        <f>IF(T342=1,MAX(c_start,DATE(YEAR(c_start),MONTH(c_start)+3,1)),0)</f>
        <v/>
      </c>
      <c r="V342">
        <f>IF(T342=1,MIN(c_end,DATE(YEAR(c_start),MONTH(c_start)+4,0)),0)</f>
        <v/>
      </c>
      <c r="W342">
        <f>IF(T342=1,V342-U342+1,0)</f>
        <v/>
      </c>
      <c r="X342">
        <f>IF(T342=1,SUMPRODUCT($L$339:$L$346,$AL$339:$AL$346)/W342,0)</f>
        <v/>
      </c>
      <c r="Y342">
        <f>IF(T342=1,IF(sb_equal,X342,X342*W342),0)</f>
        <v/>
      </c>
      <c r="Z342">
        <f>IF(sb_wraw_sum=0,W342,Y342)</f>
        <v/>
      </c>
      <c r="AA342">
        <f>IF(AND(T342=1,sb_wsum&gt;0),ROUND(sb_total_minor*Z342/sb_wsum,6),0)</f>
        <v/>
      </c>
      <c r="AB342">
        <f>INT(AA342)</f>
        <v/>
      </c>
      <c r="AC342">
        <f>IF(T342=1,ROUND(AA342-AB342,6),-1)</f>
        <v/>
      </c>
      <c r="AD342">
        <f>IF(T342=1,1+SUMPRODUCT(($AC$339:$AC$350&gt;AC342)*1)+SUMPRODUCT(($AC$339:$AC341=AC342)*1),0)</f>
        <v/>
      </c>
      <c r="AE342">
        <f>IF(T342=1,AB342+IF(AD342&lt;=sb_leftover,1,0),0)</f>
        <v/>
      </c>
      <c r="AF342">
        <f>IF(T342=1,YEAR(U342)&amp;"-"&amp;RIGHT("0"&amp;MONTH(U342),2),"")</f>
        <v/>
      </c>
      <c r="AG342">
        <f>IF(T342=1,AE342/10^sb_curdec,"")</f>
        <v/>
      </c>
      <c r="AI342">
        <f>IF(AND(E342=1,$T$339=1),MAX(0,MIN(H342,$V$339)-MAX(G342,$U$339)+1),0)</f>
        <v/>
      </c>
      <c r="AJ342">
        <f>IF(AND(E342=1,$T$340=1),MAX(0,MIN(H342,$V$340)-MAX(G342,$U$340)+1),0)</f>
        <v/>
      </c>
      <c r="AK342">
        <f>IF(AND(E342=1,$T$341=1),MAX(0,MIN(H342,$V$341)-MAX(G342,$U$341)+1),0)</f>
        <v/>
      </c>
      <c r="AL342">
        <f>IF(AND(E342=1,$T$342=1),MAX(0,MIN(H342,$V$342)-MAX(G342,$U$342)+1),0)</f>
        <v/>
      </c>
      <c r="AM342">
        <f>IF(AND(E342=1,$T$343=1),MAX(0,MIN(H342,$V$343)-MAX(G342,$U$343)+1),0)</f>
        <v/>
      </c>
      <c r="AN342">
        <f>IF(AND(E342=1,$T$344=1),MAX(0,MIN(H342,$V$344)-MAX(G342,$U$344)+1),0)</f>
        <v/>
      </c>
      <c r="AO342">
        <f>IF(AND(E342=1,$T$345=1),MAX(0,MIN(H342,$V$345)-MAX(G342,$U$345)+1),0)</f>
        <v/>
      </c>
      <c r="AP342">
        <f>IF(AND(E342=1,$T$346=1),MAX(0,MIN(H342,$V$346)-MAX(G342,$U$346)+1),0)</f>
        <v/>
      </c>
      <c r="AQ342">
        <f>IF(AND(E342=1,$T$347=1),MAX(0,MIN(H342,$V$347)-MAX(G342,$U$347)+1),0)</f>
        <v/>
      </c>
      <c r="AR342">
        <f>IF(AND(E342=1,$T$348=1),MAX(0,MIN(H342,$V$348)-MAX(G342,$U$348)+1),0)</f>
        <v/>
      </c>
      <c r="AS342">
        <f>IF(AND(E342=1,$T$349=1),MAX(0,MIN(H342,$V$349)-MAX(G342,$U$349)+1),0)</f>
        <v/>
      </c>
      <c r="AT342">
        <f>IF(AND(E342=1,$T$350=1),MAX(0,MIN(H342,$V$350)-MAX(G342,$U$350)+1),0)</f>
        <v/>
      </c>
    </row>
    <row r="343">
      <c r="A343" t="inlineStr">
        <is>
          <t>sb_direction</t>
        </is>
      </c>
      <c r="B343">
        <f>IF(sb_has,INDEX(pt_direction,sb_id),"")</f>
        <v/>
      </c>
      <c r="D343" t="n">
        <v>5</v>
      </c>
      <c r="E343">
        <f>IF(AND(sb_has,5&lt;=sb_count),1,0)</f>
        <v/>
      </c>
      <c r="F343">
        <f>IF(E343=1,sb_frow+4,0)</f>
        <v/>
      </c>
      <c r="G343">
        <f>IF(E343=1,INDEX(Tariffs!$B:$B,F343),0)</f>
        <v/>
      </c>
      <c r="H343">
        <f>IF(E343=1,INDEX(Tariffs!$C:$C,F343),0)</f>
        <v/>
      </c>
      <c r="I343">
        <f>IF(E343=1,INDEX(Tariffs!$D:$D,F343),0)</f>
        <v/>
      </c>
      <c r="J343">
        <f>IF(E343=1,INDEX(Tariffs!$E:$E,F343)=1,FALSE)</f>
        <v/>
      </c>
      <c r="K343">
        <f>IF(E343=1,INDEX(Tariffs!$G:$AI,F343,sb_col),0)</f>
        <v/>
      </c>
      <c r="L343">
        <f>IF(sb_tdec="",K343,ROUND(K343,sb_tdec))</f>
        <v/>
      </c>
      <c r="M343">
        <f>IF(AND(sb_ready,E343=1),MAX(0,MIN(H343,c_end)-MAX(G343,c_start)+1),0)</f>
        <v/>
      </c>
      <c r="N343">
        <f>AND(M343&gt;0,SUMPRODUCT(($L$339:$L342=L343)*($M$339:$M342&gt;0))=0)</f>
        <v/>
      </c>
      <c r="O343">
        <f>IF(N343,FIXED(L343,4,TRUE),"")</f>
        <v/>
      </c>
      <c r="P343">
        <f>IF(M343&gt;0,"from "&amp;YEAR(I343)&amp;"-"&amp;RIGHT("0"&amp;MONTH(I343),2)&amp;"-"&amp;RIGHT("0"&amp;DAY(I343),2)&amp;IF(J343," (open-ended)","")&amp;IF(sb_nparts&gt;1," for "&amp;YEAR(MAX(G343,c_start))&amp;"-"&amp;RIGHT("0"&amp;MONTH(MAX(G343,c_start)),2)&amp;"-"&amp;RIGHT("0"&amp;DAY(MAX(G343,c_start)),2)&amp;IF(MAX(G343,c_start)=MIN(H343,c_end),""," to "&amp;YEAR(MIN(H343,c_end))&amp;"-"&amp;RIGHT("0"&amp;MONTH(MIN(H343,c_end)),2)&amp;"-"&amp;RIGHT("0"&amp;DAY(MIN(H343,c_end)),2)),""),"")</f>
        <v/>
      </c>
      <c r="Q343">
        <f>IF(sb_ready,IF(AND(E343=1,H343+1&gt;=c_start,H343+1&lt;=c_end,SUMPRODUCT(($G$339:$G$346&lt;=H343+1)*($H$339:$H$346&gt;=H343+1)*$E$339:$E$346)=0),H343+1,""),"")</f>
        <v/>
      </c>
      <c r="S343" t="n">
        <v>5</v>
      </c>
      <c r="T343">
        <f>IF(AND(sb_ready,5&lt;=sb_nmonths),1,0)</f>
        <v/>
      </c>
      <c r="U343">
        <f>IF(T343=1,MAX(c_start,DATE(YEAR(c_start),MONTH(c_start)+4,1)),0)</f>
        <v/>
      </c>
      <c r="V343">
        <f>IF(T343=1,MIN(c_end,DATE(YEAR(c_start),MONTH(c_start)+5,0)),0)</f>
        <v/>
      </c>
      <c r="W343">
        <f>IF(T343=1,V343-U343+1,0)</f>
        <v/>
      </c>
      <c r="X343">
        <f>IF(T343=1,SUMPRODUCT($L$339:$L$346,$AM$339:$AM$346)/W343,0)</f>
        <v/>
      </c>
      <c r="Y343">
        <f>IF(T343=1,IF(sb_equal,X343,X343*W343),0)</f>
        <v/>
      </c>
      <c r="Z343">
        <f>IF(sb_wraw_sum=0,W343,Y343)</f>
        <v/>
      </c>
      <c r="AA343">
        <f>IF(AND(T343=1,sb_wsum&gt;0),ROUND(sb_total_minor*Z343/sb_wsum,6),0)</f>
        <v/>
      </c>
      <c r="AB343">
        <f>INT(AA343)</f>
        <v/>
      </c>
      <c r="AC343">
        <f>IF(T343=1,ROUND(AA343-AB343,6),-1)</f>
        <v/>
      </c>
      <c r="AD343">
        <f>IF(T343=1,1+SUMPRODUCT(($AC$339:$AC$350&gt;AC343)*1)+SUMPRODUCT(($AC$339:$AC342=AC343)*1),0)</f>
        <v/>
      </c>
      <c r="AE343">
        <f>IF(T343=1,AB343+IF(AD343&lt;=sb_leftover,1,0),0)</f>
        <v/>
      </c>
      <c r="AF343">
        <f>IF(T343=1,YEAR(U343)&amp;"-"&amp;RIGHT("0"&amp;MONTH(U343),2),"")</f>
        <v/>
      </c>
      <c r="AG343">
        <f>IF(T343=1,AE343/10^sb_curdec,"")</f>
        <v/>
      </c>
      <c r="AI343">
        <f>IF(AND(E343=1,$T$339=1),MAX(0,MIN(H343,$V$339)-MAX(G343,$U$339)+1),0)</f>
        <v/>
      </c>
      <c r="AJ343">
        <f>IF(AND(E343=1,$T$340=1),MAX(0,MIN(H343,$V$340)-MAX(G343,$U$340)+1),0)</f>
        <v/>
      </c>
      <c r="AK343">
        <f>IF(AND(E343=1,$T$341=1),MAX(0,MIN(H343,$V$341)-MAX(G343,$U$341)+1),0)</f>
        <v/>
      </c>
      <c r="AL343">
        <f>IF(AND(E343=1,$T$342=1),MAX(0,MIN(H343,$V$342)-MAX(G343,$U$342)+1),0)</f>
        <v/>
      </c>
      <c r="AM343">
        <f>IF(AND(E343=1,$T$343=1),MAX(0,MIN(H343,$V$343)-MAX(G343,$U$343)+1),0)</f>
        <v/>
      </c>
      <c r="AN343">
        <f>IF(AND(E343=1,$T$344=1),MAX(0,MIN(H343,$V$344)-MAX(G343,$U$344)+1),0)</f>
        <v/>
      </c>
      <c r="AO343">
        <f>IF(AND(E343=1,$T$345=1),MAX(0,MIN(H343,$V$345)-MAX(G343,$U$345)+1),0)</f>
        <v/>
      </c>
      <c r="AP343">
        <f>IF(AND(E343=1,$T$346=1),MAX(0,MIN(H343,$V$346)-MAX(G343,$U$346)+1),0)</f>
        <v/>
      </c>
      <c r="AQ343">
        <f>IF(AND(E343=1,$T$347=1),MAX(0,MIN(H343,$V$347)-MAX(G343,$U$347)+1),0)</f>
        <v/>
      </c>
      <c r="AR343">
        <f>IF(AND(E343=1,$T$348=1),MAX(0,MIN(H343,$V$348)-MAX(G343,$U$348)+1),0)</f>
        <v/>
      </c>
      <c r="AS343">
        <f>IF(AND(E343=1,$T$349=1),MAX(0,MIN(H343,$V$349)-MAX(G343,$U$349)+1),0)</f>
        <v/>
      </c>
      <c r="AT343">
        <f>IF(AND(E343=1,$T$350=1),MAX(0,MIN(H343,$V$350)-MAX(G343,$U$350)+1),0)</f>
        <v/>
      </c>
    </row>
    <row r="344">
      <c r="A344" t="inlineStr">
        <is>
          <t>sb_name</t>
        </is>
      </c>
      <c r="B344">
        <f>IF(sb_has,INDEX(pt_name,sb_id),"")</f>
        <v/>
      </c>
      <c r="D344" t="n">
        <v>6</v>
      </c>
      <c r="E344">
        <f>IF(AND(sb_has,6&lt;=sb_count),1,0)</f>
        <v/>
      </c>
      <c r="F344">
        <f>IF(E344=1,sb_frow+5,0)</f>
        <v/>
      </c>
      <c r="G344">
        <f>IF(E344=1,INDEX(Tariffs!$B:$B,F344),0)</f>
        <v/>
      </c>
      <c r="H344">
        <f>IF(E344=1,INDEX(Tariffs!$C:$C,F344),0)</f>
        <v/>
      </c>
      <c r="I344">
        <f>IF(E344=1,INDEX(Tariffs!$D:$D,F344),0)</f>
        <v/>
      </c>
      <c r="J344">
        <f>IF(E344=1,INDEX(Tariffs!$E:$E,F344)=1,FALSE)</f>
        <v/>
      </c>
      <c r="K344">
        <f>IF(E344=1,INDEX(Tariffs!$G:$AI,F344,sb_col),0)</f>
        <v/>
      </c>
      <c r="L344">
        <f>IF(sb_tdec="",K344,ROUND(K344,sb_tdec))</f>
        <v/>
      </c>
      <c r="M344">
        <f>IF(AND(sb_ready,E344=1),MAX(0,MIN(H344,c_end)-MAX(G344,c_start)+1),0)</f>
        <v/>
      </c>
      <c r="N344">
        <f>AND(M344&gt;0,SUMPRODUCT(($L$339:$L343=L344)*($M$339:$M343&gt;0))=0)</f>
        <v/>
      </c>
      <c r="O344">
        <f>IF(N344,FIXED(L344,4,TRUE),"")</f>
        <v/>
      </c>
      <c r="P344">
        <f>IF(M344&gt;0,"from "&amp;YEAR(I344)&amp;"-"&amp;RIGHT("0"&amp;MONTH(I344),2)&amp;"-"&amp;RIGHT("0"&amp;DAY(I344),2)&amp;IF(J344," (open-ended)","")&amp;IF(sb_nparts&gt;1," for "&amp;YEAR(MAX(G344,c_start))&amp;"-"&amp;RIGHT("0"&amp;MONTH(MAX(G344,c_start)),2)&amp;"-"&amp;RIGHT("0"&amp;DAY(MAX(G344,c_start)),2)&amp;IF(MAX(G344,c_start)=MIN(H344,c_end),""," to "&amp;YEAR(MIN(H344,c_end))&amp;"-"&amp;RIGHT("0"&amp;MONTH(MIN(H344,c_end)),2)&amp;"-"&amp;RIGHT("0"&amp;DAY(MIN(H344,c_end)),2)),""),"")</f>
        <v/>
      </c>
      <c r="Q344">
        <f>IF(sb_ready,IF(AND(E344=1,H344+1&gt;=c_start,H344+1&lt;=c_end,SUMPRODUCT(($G$339:$G$346&lt;=H344+1)*($H$339:$H$346&gt;=H344+1)*$E$339:$E$346)=0),H344+1,""),"")</f>
        <v/>
      </c>
      <c r="S344" t="n">
        <v>6</v>
      </c>
      <c r="T344">
        <f>IF(AND(sb_ready,6&lt;=sb_nmonths),1,0)</f>
        <v/>
      </c>
      <c r="U344">
        <f>IF(T344=1,MAX(c_start,DATE(YEAR(c_start),MONTH(c_start)+5,1)),0)</f>
        <v/>
      </c>
      <c r="V344">
        <f>IF(T344=1,MIN(c_end,DATE(YEAR(c_start),MONTH(c_start)+6,0)),0)</f>
        <v/>
      </c>
      <c r="W344">
        <f>IF(T344=1,V344-U344+1,0)</f>
        <v/>
      </c>
      <c r="X344">
        <f>IF(T344=1,SUMPRODUCT($L$339:$L$346,$AN$339:$AN$346)/W344,0)</f>
        <v/>
      </c>
      <c r="Y344">
        <f>IF(T344=1,IF(sb_equal,X344,X344*W344),0)</f>
        <v/>
      </c>
      <c r="Z344">
        <f>IF(sb_wraw_sum=0,W344,Y344)</f>
        <v/>
      </c>
      <c r="AA344">
        <f>IF(AND(T344=1,sb_wsum&gt;0),ROUND(sb_total_minor*Z344/sb_wsum,6),0)</f>
        <v/>
      </c>
      <c r="AB344">
        <f>INT(AA344)</f>
        <v/>
      </c>
      <c r="AC344">
        <f>IF(T344=1,ROUND(AA344-AB344,6),-1)</f>
        <v/>
      </c>
      <c r="AD344">
        <f>IF(T344=1,1+SUMPRODUCT(($AC$339:$AC$350&gt;AC344)*1)+SUMPRODUCT(($AC$339:$AC343=AC344)*1),0)</f>
        <v/>
      </c>
      <c r="AE344">
        <f>IF(T344=1,AB344+IF(AD344&lt;=sb_leftover,1,0),0)</f>
        <v/>
      </c>
      <c r="AF344">
        <f>IF(T344=1,YEAR(U344)&amp;"-"&amp;RIGHT("0"&amp;MONTH(U344),2),"")</f>
        <v/>
      </c>
      <c r="AG344">
        <f>IF(T344=1,AE344/10^sb_curdec,"")</f>
        <v/>
      </c>
      <c r="AI344">
        <f>IF(AND(E344=1,$T$339=1),MAX(0,MIN(H344,$V$339)-MAX(G344,$U$339)+1),0)</f>
        <v/>
      </c>
      <c r="AJ344">
        <f>IF(AND(E344=1,$T$340=1),MAX(0,MIN(H344,$V$340)-MAX(G344,$U$340)+1),0)</f>
        <v/>
      </c>
      <c r="AK344">
        <f>IF(AND(E344=1,$T$341=1),MAX(0,MIN(H344,$V$341)-MAX(G344,$U$341)+1),0)</f>
        <v/>
      </c>
      <c r="AL344">
        <f>IF(AND(E344=1,$T$342=1),MAX(0,MIN(H344,$V$342)-MAX(G344,$U$342)+1),0)</f>
        <v/>
      </c>
      <c r="AM344">
        <f>IF(AND(E344=1,$T$343=1),MAX(0,MIN(H344,$V$343)-MAX(G344,$U$343)+1),0)</f>
        <v/>
      </c>
      <c r="AN344">
        <f>IF(AND(E344=1,$T$344=1),MAX(0,MIN(H344,$V$344)-MAX(G344,$U$344)+1),0)</f>
        <v/>
      </c>
      <c r="AO344">
        <f>IF(AND(E344=1,$T$345=1),MAX(0,MIN(H344,$V$345)-MAX(G344,$U$345)+1),0)</f>
        <v/>
      </c>
      <c r="AP344">
        <f>IF(AND(E344=1,$T$346=1),MAX(0,MIN(H344,$V$346)-MAX(G344,$U$346)+1),0)</f>
        <v/>
      </c>
      <c r="AQ344">
        <f>IF(AND(E344=1,$T$347=1),MAX(0,MIN(H344,$V$347)-MAX(G344,$U$347)+1),0)</f>
        <v/>
      </c>
      <c r="AR344">
        <f>IF(AND(E344=1,$T$348=1),MAX(0,MIN(H344,$V$348)-MAX(G344,$U$348)+1),0)</f>
        <v/>
      </c>
      <c r="AS344">
        <f>IF(AND(E344=1,$T$349=1),MAX(0,MIN(H344,$V$349)-MAX(G344,$U$349)+1),0)</f>
        <v/>
      </c>
      <c r="AT344">
        <f>IF(AND(E344=1,$T$350=1),MAX(0,MIN(H344,$V$350)-MAX(G344,$U$350)+1),0)</f>
        <v/>
      </c>
    </row>
    <row r="345">
      <c r="A345" t="inlineStr">
        <is>
          <t>sb_currency</t>
        </is>
      </c>
      <c r="B345">
        <f>IF(sb_has,INDEX(pt_currency,sb_id),"")</f>
        <v/>
      </c>
      <c r="D345" t="n">
        <v>7</v>
      </c>
      <c r="E345">
        <f>IF(AND(sb_has,7&lt;=sb_count),1,0)</f>
        <v/>
      </c>
      <c r="F345">
        <f>IF(E345=1,sb_frow+6,0)</f>
        <v/>
      </c>
      <c r="G345">
        <f>IF(E345=1,INDEX(Tariffs!$B:$B,F345),0)</f>
        <v/>
      </c>
      <c r="H345">
        <f>IF(E345=1,INDEX(Tariffs!$C:$C,F345),0)</f>
        <v/>
      </c>
      <c r="I345">
        <f>IF(E345=1,INDEX(Tariffs!$D:$D,F345),0)</f>
        <v/>
      </c>
      <c r="J345">
        <f>IF(E345=1,INDEX(Tariffs!$E:$E,F345)=1,FALSE)</f>
        <v/>
      </c>
      <c r="K345">
        <f>IF(E345=1,INDEX(Tariffs!$G:$AI,F345,sb_col),0)</f>
        <v/>
      </c>
      <c r="L345">
        <f>IF(sb_tdec="",K345,ROUND(K345,sb_tdec))</f>
        <v/>
      </c>
      <c r="M345">
        <f>IF(AND(sb_ready,E345=1),MAX(0,MIN(H345,c_end)-MAX(G345,c_start)+1),0)</f>
        <v/>
      </c>
      <c r="N345">
        <f>AND(M345&gt;0,SUMPRODUCT(($L$339:$L344=L345)*($M$339:$M344&gt;0))=0)</f>
        <v/>
      </c>
      <c r="O345">
        <f>IF(N345,FIXED(L345,4,TRUE),"")</f>
        <v/>
      </c>
      <c r="P345">
        <f>IF(M345&gt;0,"from "&amp;YEAR(I345)&amp;"-"&amp;RIGHT("0"&amp;MONTH(I345),2)&amp;"-"&amp;RIGHT("0"&amp;DAY(I345),2)&amp;IF(J345," (open-ended)","")&amp;IF(sb_nparts&gt;1," for "&amp;YEAR(MAX(G345,c_start))&amp;"-"&amp;RIGHT("0"&amp;MONTH(MAX(G345,c_start)),2)&amp;"-"&amp;RIGHT("0"&amp;DAY(MAX(G345,c_start)),2)&amp;IF(MAX(G345,c_start)=MIN(H345,c_end),""," to "&amp;YEAR(MIN(H345,c_end))&amp;"-"&amp;RIGHT("0"&amp;MONTH(MIN(H345,c_end)),2)&amp;"-"&amp;RIGHT("0"&amp;DAY(MIN(H345,c_end)),2)),""),"")</f>
        <v/>
      </c>
      <c r="Q345">
        <f>IF(sb_ready,IF(AND(E345=1,H345+1&gt;=c_start,H345+1&lt;=c_end,SUMPRODUCT(($G$339:$G$346&lt;=H345+1)*($H$339:$H$346&gt;=H345+1)*$E$339:$E$346)=0),H345+1,""),"")</f>
        <v/>
      </c>
      <c r="S345" t="n">
        <v>7</v>
      </c>
      <c r="T345">
        <f>IF(AND(sb_ready,7&lt;=sb_nmonths),1,0)</f>
        <v/>
      </c>
      <c r="U345">
        <f>IF(T345=1,MAX(c_start,DATE(YEAR(c_start),MONTH(c_start)+6,1)),0)</f>
        <v/>
      </c>
      <c r="V345">
        <f>IF(T345=1,MIN(c_end,DATE(YEAR(c_start),MONTH(c_start)+7,0)),0)</f>
        <v/>
      </c>
      <c r="W345">
        <f>IF(T345=1,V345-U345+1,0)</f>
        <v/>
      </c>
      <c r="X345">
        <f>IF(T345=1,SUMPRODUCT($L$339:$L$346,$AO$339:$AO$346)/W345,0)</f>
        <v/>
      </c>
      <c r="Y345">
        <f>IF(T345=1,IF(sb_equal,X345,X345*W345),0)</f>
        <v/>
      </c>
      <c r="Z345">
        <f>IF(sb_wraw_sum=0,W345,Y345)</f>
        <v/>
      </c>
      <c r="AA345">
        <f>IF(AND(T345=1,sb_wsum&gt;0),ROUND(sb_total_minor*Z345/sb_wsum,6),0)</f>
        <v/>
      </c>
      <c r="AB345">
        <f>INT(AA345)</f>
        <v/>
      </c>
      <c r="AC345">
        <f>IF(T345=1,ROUND(AA345-AB345,6),-1)</f>
        <v/>
      </c>
      <c r="AD345">
        <f>IF(T345=1,1+SUMPRODUCT(($AC$339:$AC$350&gt;AC345)*1)+SUMPRODUCT(($AC$339:$AC344=AC345)*1),0)</f>
        <v/>
      </c>
      <c r="AE345">
        <f>IF(T345=1,AB345+IF(AD345&lt;=sb_leftover,1,0),0)</f>
        <v/>
      </c>
      <c r="AF345">
        <f>IF(T345=1,YEAR(U345)&amp;"-"&amp;RIGHT("0"&amp;MONTH(U345),2),"")</f>
        <v/>
      </c>
      <c r="AG345">
        <f>IF(T345=1,AE345/10^sb_curdec,"")</f>
        <v/>
      </c>
      <c r="AI345">
        <f>IF(AND(E345=1,$T$339=1),MAX(0,MIN(H345,$V$339)-MAX(G345,$U$339)+1),0)</f>
        <v/>
      </c>
      <c r="AJ345">
        <f>IF(AND(E345=1,$T$340=1),MAX(0,MIN(H345,$V$340)-MAX(G345,$U$340)+1),0)</f>
        <v/>
      </c>
      <c r="AK345">
        <f>IF(AND(E345=1,$T$341=1),MAX(0,MIN(H345,$V$341)-MAX(G345,$U$341)+1),0)</f>
        <v/>
      </c>
      <c r="AL345">
        <f>IF(AND(E345=1,$T$342=1),MAX(0,MIN(H345,$V$342)-MAX(G345,$U$342)+1),0)</f>
        <v/>
      </c>
      <c r="AM345">
        <f>IF(AND(E345=1,$T$343=1),MAX(0,MIN(H345,$V$343)-MAX(G345,$U$343)+1),0)</f>
        <v/>
      </c>
      <c r="AN345">
        <f>IF(AND(E345=1,$T$344=1),MAX(0,MIN(H345,$V$344)-MAX(G345,$U$344)+1),0)</f>
        <v/>
      </c>
      <c r="AO345">
        <f>IF(AND(E345=1,$T$345=1),MAX(0,MIN(H345,$V$345)-MAX(G345,$U$345)+1),0)</f>
        <v/>
      </c>
      <c r="AP345">
        <f>IF(AND(E345=1,$T$346=1),MAX(0,MIN(H345,$V$346)-MAX(G345,$U$346)+1),0)</f>
        <v/>
      </c>
      <c r="AQ345">
        <f>IF(AND(E345=1,$T$347=1),MAX(0,MIN(H345,$V$347)-MAX(G345,$U$347)+1),0)</f>
        <v/>
      </c>
      <c r="AR345">
        <f>IF(AND(E345=1,$T$348=1),MAX(0,MIN(H345,$V$348)-MAX(G345,$U$348)+1),0)</f>
        <v/>
      </c>
      <c r="AS345">
        <f>IF(AND(E345=1,$T$349=1),MAX(0,MIN(H345,$V$349)-MAX(G345,$U$349)+1),0)</f>
        <v/>
      </c>
      <c r="AT345">
        <f>IF(AND(E345=1,$T$350=1),MAX(0,MIN(H345,$V$350)-MAX(G345,$U$350)+1),0)</f>
        <v/>
      </c>
    </row>
    <row r="346">
      <c r="A346" t="inlineStr">
        <is>
          <t>sb_unit</t>
        </is>
      </c>
      <c r="B346">
        <f>IF(sb_has,INDEX(pt_unit,sb_id),"")</f>
        <v/>
      </c>
      <c r="D346" t="n">
        <v>8</v>
      </c>
      <c r="E346">
        <f>IF(AND(sb_has,8&lt;=sb_count),1,0)</f>
        <v/>
      </c>
      <c r="F346">
        <f>IF(E346=1,sb_frow+7,0)</f>
        <v/>
      </c>
      <c r="G346">
        <f>IF(E346=1,INDEX(Tariffs!$B:$B,F346),0)</f>
        <v/>
      </c>
      <c r="H346">
        <f>IF(E346=1,INDEX(Tariffs!$C:$C,F346),0)</f>
        <v/>
      </c>
      <c r="I346">
        <f>IF(E346=1,INDEX(Tariffs!$D:$D,F346),0)</f>
        <v/>
      </c>
      <c r="J346">
        <f>IF(E346=1,INDEX(Tariffs!$E:$E,F346)=1,FALSE)</f>
        <v/>
      </c>
      <c r="K346">
        <f>IF(E346=1,INDEX(Tariffs!$G:$AI,F346,sb_col),0)</f>
        <v/>
      </c>
      <c r="L346">
        <f>IF(sb_tdec="",K346,ROUND(K346,sb_tdec))</f>
        <v/>
      </c>
      <c r="M346">
        <f>IF(AND(sb_ready,E346=1),MAX(0,MIN(H346,c_end)-MAX(G346,c_start)+1),0)</f>
        <v/>
      </c>
      <c r="N346">
        <f>AND(M346&gt;0,SUMPRODUCT(($L$339:$L345=L346)*($M$339:$M345&gt;0))=0)</f>
        <v/>
      </c>
      <c r="O346">
        <f>IF(N346,FIXED(L346,4,TRUE),"")</f>
        <v/>
      </c>
      <c r="P346">
        <f>IF(M346&gt;0,"from "&amp;YEAR(I346)&amp;"-"&amp;RIGHT("0"&amp;MONTH(I346),2)&amp;"-"&amp;RIGHT("0"&amp;DAY(I346),2)&amp;IF(J346," (open-ended)","")&amp;IF(sb_nparts&gt;1," for "&amp;YEAR(MAX(G346,c_start))&amp;"-"&amp;RIGHT("0"&amp;MONTH(MAX(G346,c_start)),2)&amp;"-"&amp;RIGHT("0"&amp;DAY(MAX(G346,c_start)),2)&amp;IF(MAX(G346,c_start)=MIN(H346,c_end),""," to "&amp;YEAR(MIN(H346,c_end))&amp;"-"&amp;RIGHT("0"&amp;MONTH(MIN(H346,c_end)),2)&amp;"-"&amp;RIGHT("0"&amp;DAY(MIN(H346,c_end)),2)),""),"")</f>
        <v/>
      </c>
      <c r="Q346">
        <f>IF(sb_ready,IF(AND(E346=1,H346+1&gt;=c_start,H346+1&lt;=c_end,SUMPRODUCT(($G$339:$G$346&lt;=H346+1)*($H$339:$H$346&gt;=H346+1)*$E$339:$E$346)=0),H346+1,""),"")</f>
        <v/>
      </c>
      <c r="S346" t="n">
        <v>8</v>
      </c>
      <c r="T346">
        <f>IF(AND(sb_ready,8&lt;=sb_nmonths),1,0)</f>
        <v/>
      </c>
      <c r="U346">
        <f>IF(T346=1,MAX(c_start,DATE(YEAR(c_start),MONTH(c_start)+7,1)),0)</f>
        <v/>
      </c>
      <c r="V346">
        <f>IF(T346=1,MIN(c_end,DATE(YEAR(c_start),MONTH(c_start)+8,0)),0)</f>
        <v/>
      </c>
      <c r="W346">
        <f>IF(T346=1,V346-U346+1,0)</f>
        <v/>
      </c>
      <c r="X346">
        <f>IF(T346=1,SUMPRODUCT($L$339:$L$346,$AP$339:$AP$346)/W346,0)</f>
        <v/>
      </c>
      <c r="Y346">
        <f>IF(T346=1,IF(sb_equal,X346,X346*W346),0)</f>
        <v/>
      </c>
      <c r="Z346">
        <f>IF(sb_wraw_sum=0,W346,Y346)</f>
        <v/>
      </c>
      <c r="AA346">
        <f>IF(AND(T346=1,sb_wsum&gt;0),ROUND(sb_total_minor*Z346/sb_wsum,6),0)</f>
        <v/>
      </c>
      <c r="AB346">
        <f>INT(AA346)</f>
        <v/>
      </c>
      <c r="AC346">
        <f>IF(T346=1,ROUND(AA346-AB346,6),-1)</f>
        <v/>
      </c>
      <c r="AD346">
        <f>IF(T346=1,1+SUMPRODUCT(($AC$339:$AC$350&gt;AC346)*1)+SUMPRODUCT(($AC$339:$AC345=AC346)*1),0)</f>
        <v/>
      </c>
      <c r="AE346">
        <f>IF(T346=1,AB346+IF(AD346&lt;=sb_leftover,1,0),0)</f>
        <v/>
      </c>
      <c r="AF346">
        <f>IF(T346=1,YEAR(U346)&amp;"-"&amp;RIGHT("0"&amp;MONTH(U346),2),"")</f>
        <v/>
      </c>
      <c r="AG346">
        <f>IF(T346=1,AE346/10^sb_curdec,"")</f>
        <v/>
      </c>
      <c r="AI346">
        <f>IF(AND(E346=1,$T$339=1),MAX(0,MIN(H346,$V$339)-MAX(G346,$U$339)+1),0)</f>
        <v/>
      </c>
      <c r="AJ346">
        <f>IF(AND(E346=1,$T$340=1),MAX(0,MIN(H346,$V$340)-MAX(G346,$U$340)+1),0)</f>
        <v/>
      </c>
      <c r="AK346">
        <f>IF(AND(E346=1,$T$341=1),MAX(0,MIN(H346,$V$341)-MAX(G346,$U$341)+1),0)</f>
        <v/>
      </c>
      <c r="AL346">
        <f>IF(AND(E346=1,$T$342=1),MAX(0,MIN(H346,$V$342)-MAX(G346,$U$342)+1),0)</f>
        <v/>
      </c>
      <c r="AM346">
        <f>IF(AND(E346=1,$T$343=1),MAX(0,MIN(H346,$V$343)-MAX(G346,$U$343)+1),0)</f>
        <v/>
      </c>
      <c r="AN346">
        <f>IF(AND(E346=1,$T$344=1),MAX(0,MIN(H346,$V$344)-MAX(G346,$U$344)+1),0)</f>
        <v/>
      </c>
      <c r="AO346">
        <f>IF(AND(E346=1,$T$345=1),MAX(0,MIN(H346,$V$345)-MAX(G346,$U$345)+1),0)</f>
        <v/>
      </c>
      <c r="AP346">
        <f>IF(AND(E346=1,$T$346=1),MAX(0,MIN(H346,$V$346)-MAX(G346,$U$346)+1),0)</f>
        <v/>
      </c>
      <c r="AQ346">
        <f>IF(AND(E346=1,$T$347=1),MAX(0,MIN(H346,$V$347)-MAX(G346,$U$347)+1),0)</f>
        <v/>
      </c>
      <c r="AR346">
        <f>IF(AND(E346=1,$T$348=1),MAX(0,MIN(H346,$V$348)-MAX(G346,$U$348)+1),0)</f>
        <v/>
      </c>
      <c r="AS346">
        <f>IF(AND(E346=1,$T$349=1),MAX(0,MIN(H346,$V$349)-MAX(G346,$U$349)+1),0)</f>
        <v/>
      </c>
      <c r="AT346">
        <f>IF(AND(E346=1,$T$350=1),MAX(0,MIN(H346,$V$350)-MAX(G346,$U$350)+1),0)</f>
        <v/>
      </c>
    </row>
    <row r="347">
      <c r="A347" t="inlineStr">
        <is>
          <t>sb_captype</t>
        </is>
      </c>
      <c r="B347">
        <f>IF(sb_has,INDEX(pt_captype,sb_id),"")</f>
        <v/>
      </c>
      <c r="S347" t="n">
        <v>9</v>
      </c>
      <c r="T347">
        <f>IF(AND(sb_ready,9&lt;=sb_nmonths),1,0)</f>
        <v/>
      </c>
      <c r="U347">
        <f>IF(T347=1,MAX(c_start,DATE(YEAR(c_start),MONTH(c_start)+8,1)),0)</f>
        <v/>
      </c>
      <c r="V347">
        <f>IF(T347=1,MIN(c_end,DATE(YEAR(c_start),MONTH(c_start)+9,0)),0)</f>
        <v/>
      </c>
      <c r="W347">
        <f>IF(T347=1,V347-U347+1,0)</f>
        <v/>
      </c>
      <c r="X347">
        <f>IF(T347=1,SUMPRODUCT($L$339:$L$346,$AQ$339:$AQ$346)/W347,0)</f>
        <v/>
      </c>
      <c r="Y347">
        <f>IF(T347=1,IF(sb_equal,X347,X347*W347),0)</f>
        <v/>
      </c>
      <c r="Z347">
        <f>IF(sb_wraw_sum=0,W347,Y347)</f>
        <v/>
      </c>
      <c r="AA347">
        <f>IF(AND(T347=1,sb_wsum&gt;0),ROUND(sb_total_minor*Z347/sb_wsum,6),0)</f>
        <v/>
      </c>
      <c r="AB347">
        <f>INT(AA347)</f>
        <v/>
      </c>
      <c r="AC347">
        <f>IF(T347=1,ROUND(AA347-AB347,6),-1)</f>
        <v/>
      </c>
      <c r="AD347">
        <f>IF(T347=1,1+SUMPRODUCT(($AC$339:$AC$350&gt;AC347)*1)+SUMPRODUCT(($AC$339:$AC346=AC347)*1),0)</f>
        <v/>
      </c>
      <c r="AE347">
        <f>IF(T347=1,AB347+IF(AD347&lt;=sb_leftover,1,0),0)</f>
        <v/>
      </c>
      <c r="AF347">
        <f>IF(T347=1,YEAR(U347)&amp;"-"&amp;RIGHT("0"&amp;MONTH(U347),2),"")</f>
        <v/>
      </c>
      <c r="AG347">
        <f>IF(T347=1,AE347/10^sb_curdec,"")</f>
        <v/>
      </c>
    </row>
    <row r="348">
      <c r="A348" t="inlineStr">
        <is>
          <t>sb_frow</t>
        </is>
      </c>
      <c r="B348">
        <f>IF(sb_has,INDEX(pt_frow,sb_id),"")</f>
        <v/>
      </c>
      <c r="S348" t="n">
        <v>10</v>
      </c>
      <c r="T348">
        <f>IF(AND(sb_ready,10&lt;=sb_nmonths),1,0)</f>
        <v/>
      </c>
      <c r="U348">
        <f>IF(T348=1,MAX(c_start,DATE(YEAR(c_start),MONTH(c_start)+9,1)),0)</f>
        <v/>
      </c>
      <c r="V348">
        <f>IF(T348=1,MIN(c_end,DATE(YEAR(c_start),MONTH(c_start)+10,0)),0)</f>
        <v/>
      </c>
      <c r="W348">
        <f>IF(T348=1,V348-U348+1,0)</f>
        <v/>
      </c>
      <c r="X348">
        <f>IF(T348=1,SUMPRODUCT($L$339:$L$346,$AR$339:$AR$346)/W348,0)</f>
        <v/>
      </c>
      <c r="Y348">
        <f>IF(T348=1,IF(sb_equal,X348,X348*W348),0)</f>
        <v/>
      </c>
      <c r="Z348">
        <f>IF(sb_wraw_sum=0,W348,Y348)</f>
        <v/>
      </c>
      <c r="AA348">
        <f>IF(AND(T348=1,sb_wsum&gt;0),ROUND(sb_total_minor*Z348/sb_wsum,6),0)</f>
        <v/>
      </c>
      <c r="AB348">
        <f>INT(AA348)</f>
        <v/>
      </c>
      <c r="AC348">
        <f>IF(T348=1,ROUND(AA348-AB348,6),-1)</f>
        <v/>
      </c>
      <c r="AD348">
        <f>IF(T348=1,1+SUMPRODUCT(($AC$339:$AC$350&gt;AC348)*1)+SUMPRODUCT(($AC$339:$AC347=AC348)*1),0)</f>
        <v/>
      </c>
      <c r="AE348">
        <f>IF(T348=1,AB348+IF(AD348&lt;=sb_leftover,1,0),0)</f>
        <v/>
      </c>
      <c r="AF348">
        <f>IF(T348=1,YEAR(U348)&amp;"-"&amp;RIGHT("0"&amp;MONTH(U348),2),"")</f>
        <v/>
      </c>
      <c r="AG348">
        <f>IF(T348=1,AE348/10^sb_curdec,"")</f>
        <v/>
      </c>
    </row>
    <row r="349">
      <c r="A349" t="inlineStr">
        <is>
          <t>sb_count</t>
        </is>
      </c>
      <c r="B349">
        <f>IF(sb_has,INDEX(pt_count,sb_id),"")</f>
        <v/>
      </c>
      <c r="S349" t="n">
        <v>11</v>
      </c>
      <c r="T349">
        <f>IF(AND(sb_ready,11&lt;=sb_nmonths),1,0)</f>
        <v/>
      </c>
      <c r="U349">
        <f>IF(T349=1,MAX(c_start,DATE(YEAR(c_start),MONTH(c_start)+10,1)),0)</f>
        <v/>
      </c>
      <c r="V349">
        <f>IF(T349=1,MIN(c_end,DATE(YEAR(c_start),MONTH(c_start)+11,0)),0)</f>
        <v/>
      </c>
      <c r="W349">
        <f>IF(T349=1,V349-U349+1,0)</f>
        <v/>
      </c>
      <c r="X349">
        <f>IF(T349=1,SUMPRODUCT($L$339:$L$346,$AS$339:$AS$346)/W349,0)</f>
        <v/>
      </c>
      <c r="Y349">
        <f>IF(T349=1,IF(sb_equal,X349,X349*W349),0)</f>
        <v/>
      </c>
      <c r="Z349">
        <f>IF(sb_wraw_sum=0,W349,Y349)</f>
        <v/>
      </c>
      <c r="AA349">
        <f>IF(AND(T349=1,sb_wsum&gt;0),ROUND(sb_total_minor*Z349/sb_wsum,6),0)</f>
        <v/>
      </c>
      <c r="AB349">
        <f>INT(AA349)</f>
        <v/>
      </c>
      <c r="AC349">
        <f>IF(T349=1,ROUND(AA349-AB349,6),-1)</f>
        <v/>
      </c>
      <c r="AD349">
        <f>IF(T349=1,1+SUMPRODUCT(($AC$339:$AC$350&gt;AC349)*1)+SUMPRODUCT(($AC$339:$AC348=AC349)*1),0)</f>
        <v/>
      </c>
      <c r="AE349">
        <f>IF(T349=1,AB349+IF(AD349&lt;=sb_leftover,1,0),0)</f>
        <v/>
      </c>
      <c r="AF349">
        <f>IF(T349=1,YEAR(U349)&amp;"-"&amp;RIGHT("0"&amp;MONTH(U349),2),"")</f>
        <v/>
      </c>
      <c r="AG349">
        <f>IF(T349=1,AE349/10^sb_curdec,"")</f>
        <v/>
      </c>
    </row>
    <row r="350">
      <c r="A350" t="inlineStr">
        <is>
          <t>sb_rule</t>
        </is>
      </c>
      <c r="B350">
        <f>IFERROR(MATCH(sb_tso,rl_code,0),0)</f>
        <v/>
      </c>
      <c r="S350" t="n">
        <v>12</v>
      </c>
      <c r="T350">
        <f>IF(AND(sb_ready,12&lt;=sb_nmonths),1,0)</f>
        <v/>
      </c>
      <c r="U350">
        <f>IF(T350=1,MAX(c_start,DATE(YEAR(c_start),MONTH(c_start)+11,1)),0)</f>
        <v/>
      </c>
      <c r="V350">
        <f>IF(T350=1,MIN(c_end,DATE(YEAR(c_start),MONTH(c_start)+12,0)),0)</f>
        <v/>
      </c>
      <c r="W350">
        <f>IF(T350=1,V350-U350+1,0)</f>
        <v/>
      </c>
      <c r="X350">
        <f>IF(T350=1,SUMPRODUCT($L$339:$L$346,$AT$339:$AT$346)/W350,0)</f>
        <v/>
      </c>
      <c r="Y350">
        <f>IF(T350=1,IF(sb_equal,X350,X350*W350),0)</f>
        <v/>
      </c>
      <c r="Z350">
        <f>IF(sb_wraw_sum=0,W350,Y350)</f>
        <v/>
      </c>
      <c r="AA350">
        <f>IF(AND(T350=1,sb_wsum&gt;0),ROUND(sb_total_minor*Z350/sb_wsum,6),0)</f>
        <v/>
      </c>
      <c r="AB350">
        <f>INT(AA350)</f>
        <v/>
      </c>
      <c r="AC350">
        <f>IF(T350=1,ROUND(AA350-AB350,6),-1)</f>
        <v/>
      </c>
      <c r="AD350">
        <f>IF(T350=1,1+SUMPRODUCT(($AC$339:$AC$350&gt;AC350)*1)+SUMPRODUCT(($AC$339:$AC349=AC350)*1),0)</f>
        <v/>
      </c>
      <c r="AE350">
        <f>IF(T350=1,AB350+IF(AD350&lt;=sb_leftover,1,0),0)</f>
        <v/>
      </c>
      <c r="AF350">
        <f>IF(T350=1,YEAR(U350)&amp;"-"&amp;RIGHT("0"&amp;MONTH(U350),2),"")</f>
        <v/>
      </c>
      <c r="AG350">
        <f>IF(T350=1,AE350/10^sb_curdec,"")</f>
        <v/>
      </c>
    </row>
    <row r="351">
      <c r="A351" t="inlineStr">
        <is>
          <t>sb_curdec</t>
        </is>
      </c>
      <c r="B351">
        <f>IF(sb_rule&gt;0,INDEX(rl_curdec,sb_rule),2)</f>
        <v/>
      </c>
    </row>
    <row r="352">
      <c r="A352" t="inlineStr">
        <is>
          <t>sb_tdec</t>
        </is>
      </c>
      <c r="B352">
        <f>IF(sb_rule=0,"",IF(INDEX(rl_tdec,sb_rule)="","",INDEX(rl_tdec,sb_rule)))</f>
        <v/>
      </c>
    </row>
    <row r="353">
      <c r="A353" t="inlineStr">
        <is>
          <t>sb_equal</t>
        </is>
      </c>
      <c r="B353">
        <f>IF(sb_rule=0,FALSE,IF(c_inst=1,INDEX(rl_eq_gy,sb_rule)="yes",IF(c_inst=2,INDEX(rl_eq_q,sb_rule)="yes",FALSE)))</f>
        <v/>
      </c>
    </row>
    <row r="354">
      <c r="A354" t="inlineStr">
        <is>
          <t>sb_uhours</t>
        </is>
      </c>
      <c r="B354">
        <f>IF(sb_unit="kWh/d",1,24)</f>
        <v/>
      </c>
    </row>
    <row r="355">
      <c r="A355" t="inlineStr">
        <is>
          <t>sb_col</t>
        </is>
      </c>
      <c r="B355">
        <f>IF(NOT(sb_ready),1,CHOOSE(c_inst,1,2+INT((MONTH(c_start)-1)/3),5+MONTH(c_start),17+MONTH(c_start)))</f>
        <v/>
      </c>
    </row>
    <row r="356">
      <c r="A356" t="inlineStr">
        <is>
          <t>sb_colname</t>
        </is>
      </c>
      <c r="B356">
        <f>INDEX(tr_header,sb_col)</f>
        <v/>
      </c>
    </row>
    <row r="357">
      <c r="A357" t="inlineStr">
        <is>
          <t>sb_pdays</t>
        </is>
      </c>
      <c r="B357">
        <f>IF(sb_ready,c_end-c_start+1,0)</f>
        <v/>
      </c>
    </row>
    <row r="358">
      <c r="A358" t="inlineStr">
        <is>
          <t>sb_nmonths</t>
        </is>
      </c>
      <c r="B358">
        <f>IF(sb_ready,(YEAR(c_end)-YEAR(c_start))*12+MONTH(c_end)-MONTH(c_start)+1,0)</f>
        <v/>
      </c>
    </row>
    <row r="359">
      <c r="A359" t="inlineStr">
        <is>
          <t>sb_covered</t>
        </is>
      </c>
      <c r="B359">
        <f>SUM($M$339:$M$346)</f>
        <v/>
      </c>
    </row>
    <row r="360">
      <c r="A360" t="inlineStr">
        <is>
          <t>sb_notariff</t>
        </is>
      </c>
      <c r="B360">
        <f>AND(sb_ready,sb_covered&lt;sb_pdays)</f>
        <v/>
      </c>
    </row>
    <row r="361">
      <c r="A361" t="inlineStr">
        <is>
          <t>sb_miss_start</t>
        </is>
      </c>
      <c r="B361">
        <f>IF(sb_notariff,IF(SUMPRODUCT(($G$339:$G$346&lt;=c_start)*($H$339:$H$346&gt;=c_start)*$E$339:$E$346)=0,c_start,""),"")</f>
        <v/>
      </c>
    </row>
    <row r="362">
      <c r="A362" t="inlineStr">
        <is>
          <t>sb_firstmiss</t>
        </is>
      </c>
      <c r="B362">
        <f>IF(sb_notariff,MIN(sb_miss_start,$Q$339:$Q$346),"")</f>
        <v/>
      </c>
    </row>
    <row r="363">
      <c r="A363" t="inlineStr">
        <is>
          <t>sb_missing_msg</t>
        </is>
      </c>
      <c r="B363">
        <f>IF(sb_notariff,"No tariff exists for "&amp;"the "&amp;sb_tso_name&amp;" "&amp;IF(sb_direction="Exit","exit","entry")&amp;" side ("&amp;sb_name&amp;")"&amp;" on "&amp;YEAR(sb_firstmiss)&amp;"-"&amp;RIGHT("0"&amp;MONTH(sb_firstmiss),2)&amp;"-"&amp;RIGHT("0"&amp;DAY(sb_firstmiss),2)&amp;".","")</f>
        <v/>
      </c>
    </row>
    <row r="364">
      <c r="A364" t="inlineStr">
        <is>
          <t>sb_show</t>
        </is>
      </c>
      <c r="B364">
        <f>AND(c_ok,sb_has)</f>
        <v/>
      </c>
    </row>
    <row r="365">
      <c r="A365" t="inlineStr">
        <is>
          <t>sb_nparts</t>
        </is>
      </c>
      <c r="B365">
        <f>COUNTIF($M$339:$M$346,"&gt;0")</f>
        <v/>
      </c>
    </row>
    <row r="366">
      <c r="A366" t="inlineStr">
        <is>
          <t>sb_price</t>
        </is>
      </c>
      <c r="B366">
        <f>IF(AND(sb_ready,NOT(sb_notariff)),IF(sb_equal,SUM($X$339:$X$350)/sb_nmonths,SUMPRODUCT($X$339:$X$350,$W$339:$W$350)/sb_pdays),0)</f>
        <v/>
      </c>
    </row>
    <row r="367">
      <c r="A367" t="inlineStr">
        <is>
          <t>sb_capacity</t>
        </is>
      </c>
      <c r="B367">
        <f>c_kwh_d/sb_uhours</f>
        <v/>
      </c>
    </row>
    <row r="368">
      <c r="A368" t="inlineStr">
        <is>
          <t>sb_total</t>
        </is>
      </c>
      <c r="B368">
        <f>ROUND(ROUND(c_kwh_d*sb_price/sb_uhours,sb_curdec+6),sb_curdec)</f>
        <v/>
      </c>
    </row>
    <row r="369">
      <c r="A369" t="inlineStr">
        <is>
          <t>sb_total_minor</t>
        </is>
      </c>
      <c r="B369">
        <f>ROUND(sb_total*10^sb_curdec,0)</f>
        <v/>
      </c>
    </row>
    <row r="370">
      <c r="A370" t="inlineStr">
        <is>
          <t>sb_wraw_sum</t>
        </is>
      </c>
      <c r="B370">
        <f>SUM($Y$339:$Y$350)</f>
        <v/>
      </c>
    </row>
    <row r="371">
      <c r="A371" t="inlineStr">
        <is>
          <t>sb_wsum</t>
        </is>
      </c>
      <c r="B371">
        <f>SUM($Z$339:$Z$350)</f>
        <v/>
      </c>
    </row>
    <row r="372">
      <c r="A372" t="inlineStr">
        <is>
          <t>sb_leftover</t>
        </is>
      </c>
      <c r="B372">
        <f>sb_total_minor-SUM($AB$339:$AB$350)</f>
        <v/>
      </c>
    </row>
    <row r="373">
      <c r="A373" t="inlineStr">
        <is>
          <t>sb_price_text</t>
        </is>
      </c>
      <c r="B373">
        <f>_xlfn.TEXTJOIN(" / ",TRUE,$O$339:$O$346)</f>
        <v/>
      </c>
    </row>
    <row r="374">
      <c r="A374" t="inlineStr">
        <is>
          <t>sb_tariff_used</t>
        </is>
      </c>
      <c r="B374">
        <f>_xlfn.TEXTJOIN("; ",TRUE,$P$339:$P$346)</f>
        <v/>
      </c>
    </row>
    <row r="375">
      <c r="A375" t="inlineStr">
        <is>
          <t>sb_heading</t>
        </is>
      </c>
      <c r="B375">
        <f>IF(c_bundle,sb_tso_name&amp;" "&amp;LOWER(sb_direction)&amp;" "&amp;sb_name,"")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Booking type</t>
        </is>
      </c>
      <c r="B1" s="3" t="inlineStr">
        <is>
          <t>Instrument</t>
        </is>
      </c>
      <c r="C1" s="3" t="inlineStr">
        <is>
          <t>Unit</t>
        </is>
      </c>
      <c r="D1" s="3" t="inlineStr"/>
      <c r="E1" s="3" t="inlineStr">
        <is>
          <t>TSO</t>
        </is>
      </c>
      <c r="F1" s="3" t="inlineStr">
        <is>
          <t>TSO code</t>
        </is>
      </c>
      <c r="G1" s="3" t="inlineStr">
        <is>
          <t>Singles start</t>
        </is>
      </c>
      <c r="H1" s="3" t="inlineStr">
        <is>
          <t>Singles count</t>
        </is>
      </c>
      <c r="I1" s="3" t="inlineStr"/>
      <c r="J1" s="3" t="inlineStr">
        <is>
          <t>Point label</t>
        </is>
      </c>
      <c r="K1" s="3" t="inlineStr">
        <is>
          <t>Side 1 id</t>
        </is>
      </c>
      <c r="L1" s="3" t="inlineStr">
        <is>
          <t>Side 2 id</t>
        </is>
      </c>
      <c r="M1" s="3" t="inlineStr">
        <is>
          <t>Heading</t>
        </is>
      </c>
      <c r="O1" s="3" t="inlineStr">
        <is>
          <t>Rate currency</t>
        </is>
      </c>
    </row>
    <row r="2">
      <c r="A2" t="inlineStr">
        <is>
          <t>Bundled</t>
        </is>
      </c>
      <c r="B2" t="inlineStr">
        <is>
          <t>Gas year</t>
        </is>
      </c>
      <c r="C2" t="inlineStr">
        <is>
          <t>kWh/h</t>
        </is>
      </c>
      <c r="E2" t="inlineStr">
        <is>
          <t>Amber Grid</t>
        </is>
      </c>
      <c r="F2" t="inlineStr">
        <is>
          <t>AMBERGR</t>
        </is>
      </c>
      <c r="G2" t="n">
        <v>59</v>
      </c>
      <c r="H2" t="n">
        <v>1</v>
      </c>
      <c r="J2" t="inlineStr">
        <is>
          <t>Balassagyarmat HU&gt;SK (FGSZ + Eustream)</t>
        </is>
      </c>
      <c r="K2" t="n">
        <v>38</v>
      </c>
      <c r="L2" t="n">
        <v>21</v>
      </c>
      <c r="M2" t="inlineStr">
        <is>
          <t>Balassagyarmat HU&gt;SK (FGSZ + Eustream)</t>
        </is>
      </c>
      <c r="O2" t="inlineStr">
        <is>
          <t>CZK</t>
        </is>
      </c>
    </row>
    <row r="3">
      <c r="A3" t="inlineStr">
        <is>
          <t>Single side</t>
        </is>
      </c>
      <c r="B3" t="inlineStr">
        <is>
          <t>Quarter</t>
        </is>
      </c>
      <c r="C3" t="inlineStr">
        <is>
          <t>kWh/d</t>
        </is>
      </c>
      <c r="E3" t="inlineStr">
        <is>
          <t>Bulgartransgaz</t>
        </is>
      </c>
      <c r="F3" t="inlineStr">
        <is>
          <t>BGTRGAZ</t>
        </is>
      </c>
      <c r="G3" t="n">
        <v>60</v>
      </c>
      <c r="H3" t="n">
        <v>13</v>
      </c>
      <c r="J3" t="inlineStr">
        <is>
          <t>Balassagyarmat SK&gt;HU (Eustream + FGSZ)</t>
        </is>
      </c>
      <c r="K3" t="n">
        <v>26</v>
      </c>
      <c r="L3" t="n">
        <v>31</v>
      </c>
      <c r="M3" t="inlineStr">
        <is>
          <t>Balassagyarmat SK&gt;HU (Eustream + FGSZ)</t>
        </is>
      </c>
      <c r="O3" t="inlineStr">
        <is>
          <t>HUF</t>
        </is>
      </c>
    </row>
    <row r="4">
      <c r="A4" t="inlineStr">
        <is>
          <t>LNG entry</t>
        </is>
      </c>
      <c r="B4" t="inlineStr">
        <is>
          <t>Month</t>
        </is>
      </c>
      <c r="E4" t="inlineStr">
        <is>
          <t>DESFA</t>
        </is>
      </c>
      <c r="F4" t="inlineStr">
        <is>
          <t>DESFA</t>
        </is>
      </c>
      <c r="G4" t="n">
        <v>73</v>
      </c>
      <c r="H4" t="n">
        <v>6</v>
      </c>
      <c r="J4" t="inlineStr">
        <is>
          <t>Baumgarten AT&gt;SK (Gas Connect Austria + Eustream)</t>
        </is>
      </c>
      <c r="K4" t="n">
        <v>49</v>
      </c>
      <c r="L4" t="n">
        <v>22</v>
      </c>
      <c r="M4" t="inlineStr">
        <is>
          <t>Baumgarten AT&gt;SK (Gas Connect Austria + Eustream)</t>
        </is>
      </c>
      <c r="O4" t="inlineStr">
        <is>
          <t>PLN</t>
        </is>
      </c>
    </row>
    <row r="5">
      <c r="B5" t="inlineStr">
        <is>
          <t>Day</t>
        </is>
      </c>
      <c r="E5" t="inlineStr">
        <is>
          <t>Eustream</t>
        </is>
      </c>
      <c r="F5" t="inlineStr">
        <is>
          <t>EUSTR</t>
        </is>
      </c>
      <c r="G5" t="n">
        <v>79</v>
      </c>
      <c r="H5" t="n">
        <v>10</v>
      </c>
      <c r="J5" t="inlineStr">
        <is>
          <t>Baumgarten SK&gt;AT (Eustream + Gas Connect Austria)</t>
        </is>
      </c>
      <c r="K5" t="n">
        <v>27</v>
      </c>
      <c r="L5" t="n">
        <v>45</v>
      </c>
      <c r="M5" t="inlineStr">
        <is>
          <t>Baumgarten SK&gt;AT (Eustream + Gas Connect Austria)</t>
        </is>
      </c>
      <c r="O5" t="inlineStr">
        <is>
          <t>RON</t>
        </is>
      </c>
    </row>
    <row r="6">
      <c r="E6" t="inlineStr">
        <is>
          <t>FGSZ</t>
        </is>
      </c>
      <c r="F6" t="inlineStr">
        <is>
          <t>FGSZ</t>
        </is>
      </c>
      <c r="G6" t="n">
        <v>89</v>
      </c>
      <c r="H6" t="n">
        <v>14</v>
      </c>
      <c r="J6" t="inlineStr">
        <is>
          <t>Cieszyn CZ&gt;PL (NET4GAS + GAZ-SYSTEM)</t>
        </is>
      </c>
      <c r="K6" t="n">
        <v>78</v>
      </c>
      <c r="L6" t="n">
        <v>67</v>
      </c>
      <c r="M6" t="inlineStr">
        <is>
          <t>Cieszyn CZ&gt;PL (NET4GAS + GAZ-SYSTEM)</t>
        </is>
      </c>
    </row>
    <row r="7">
      <c r="E7" t="inlineStr">
        <is>
          <t>Gas Connect Austria</t>
        </is>
      </c>
      <c r="F7" t="inlineStr">
        <is>
          <t>GCA</t>
        </is>
      </c>
      <c r="G7" t="n">
        <v>103</v>
      </c>
      <c r="H7" t="n">
        <v>8</v>
      </c>
      <c r="J7" t="inlineStr">
        <is>
          <t>Cieszyn PL&gt;CZ (GAZ-SYSTEM + NET4GAS)</t>
        </is>
      </c>
      <c r="K7" t="n">
        <v>70</v>
      </c>
      <c r="L7" t="n">
        <v>75</v>
      </c>
      <c r="M7" t="inlineStr">
        <is>
          <t>Cieszyn PL&gt;CZ (GAZ-SYSTEM + NET4GAS)</t>
        </is>
      </c>
    </row>
    <row r="8">
      <c r="E8" t="inlineStr">
        <is>
          <t>Gas TSO of Ukraine</t>
        </is>
      </c>
      <c r="F8" t="inlineStr">
        <is>
          <t>UKRTRAG</t>
        </is>
      </c>
      <c r="G8" t="n">
        <v>111</v>
      </c>
      <c r="H8" t="n">
        <v>4</v>
      </c>
      <c r="J8" t="inlineStr">
        <is>
          <t>Csanádpalota HU&gt;RO (FGSZ + Transgaz)</t>
        </is>
      </c>
      <c r="K8" t="n">
        <v>39</v>
      </c>
      <c r="L8" t="n">
        <v>104</v>
      </c>
      <c r="M8" t="inlineStr">
        <is>
          <t>Csanádpalota HU&gt;RO (FGSZ + Transgaz)</t>
        </is>
      </c>
    </row>
    <row r="9">
      <c r="E9" t="inlineStr">
        <is>
          <t>GASCADE</t>
        </is>
      </c>
      <c r="F9" t="inlineStr">
        <is>
          <t>GASCADE</t>
        </is>
      </c>
      <c r="G9" t="n">
        <v>115</v>
      </c>
      <c r="H9" t="n">
        <v>2</v>
      </c>
      <c r="J9" t="inlineStr">
        <is>
          <t>Csanádpalota RO&gt;HU (Transgaz + FGSZ)</t>
        </is>
      </c>
      <c r="K9" t="n">
        <v>107</v>
      </c>
      <c r="L9" t="n">
        <v>33</v>
      </c>
      <c r="M9" t="inlineStr">
        <is>
          <t>Csanádpalota RO&gt;HU (Transgaz + FGSZ)</t>
        </is>
      </c>
    </row>
    <row r="10">
      <c r="E10" t="inlineStr">
        <is>
          <t>Gastrans</t>
        </is>
      </c>
      <c r="F10" t="inlineStr">
        <is>
          <t>Gastran</t>
        </is>
      </c>
      <c r="G10" t="n">
        <v>117</v>
      </c>
      <c r="H10" t="n">
        <v>4</v>
      </c>
      <c r="J10" t="inlineStr">
        <is>
          <t>Drávaszerdahely CR&gt;HU (Plinacro + FGSZ)</t>
        </is>
      </c>
      <c r="K10" t="n">
        <v>85</v>
      </c>
      <c r="L10" t="n">
        <v>34</v>
      </c>
      <c r="M10" t="inlineStr">
        <is>
          <t>Drávaszerdahely CR&gt;HU (Plinacro + FGSZ)</t>
        </is>
      </c>
    </row>
    <row r="11">
      <c r="E11" t="inlineStr">
        <is>
          <t>Gasunie Deutschland</t>
        </is>
      </c>
      <c r="F11" t="inlineStr">
        <is>
          <t>Gasunie</t>
        </is>
      </c>
      <c r="G11" t="n">
        <v>121</v>
      </c>
      <c r="H11" t="n">
        <v>2</v>
      </c>
      <c r="J11" t="inlineStr">
        <is>
          <t>Drávaszerdahely HU&gt;CR (FGSZ + Plinacro)</t>
        </is>
      </c>
      <c r="K11" t="n">
        <v>40</v>
      </c>
      <c r="L11" t="n">
        <v>83</v>
      </c>
      <c r="M11" t="inlineStr">
        <is>
          <t>Drávaszerdahely HU&gt;CR (FGSZ + Plinacro)</t>
        </is>
      </c>
    </row>
    <row r="12">
      <c r="E12" t="inlineStr">
        <is>
          <t>Gasunie Transport Services</t>
        </is>
      </c>
      <c r="F12" t="inlineStr">
        <is>
          <t>GTS</t>
        </is>
      </c>
      <c r="G12" t="n">
        <v>123</v>
      </c>
      <c r="H12" t="n">
        <v>2</v>
      </c>
      <c r="J12" t="inlineStr">
        <is>
          <t>Gorizia/Šempeter IT&gt;SI (Snam Rete Gas + Plinovodi)</t>
        </is>
      </c>
      <c r="K12" t="n">
        <v>96</v>
      </c>
      <c r="L12" t="n">
        <v>87</v>
      </c>
      <c r="M12" t="inlineStr">
        <is>
          <t>Gorizia/Šempeter IT&gt;SI (Snam Rete Gas + Plinovodi)</t>
        </is>
      </c>
    </row>
    <row r="13">
      <c r="E13" t="inlineStr">
        <is>
          <t>GAZ-SYSTEM</t>
        </is>
      </c>
      <c r="F13" t="inlineStr">
        <is>
          <t>GAZSYS</t>
        </is>
      </c>
      <c r="G13" t="n">
        <v>125</v>
      </c>
      <c r="H13" t="n">
        <v>6</v>
      </c>
      <c r="J13" t="inlineStr">
        <is>
          <t>Gorizia/Šempeter SI&gt;IT (Plinovodi + Snam Rete Gas)</t>
        </is>
      </c>
      <c r="K13" t="n">
        <v>90</v>
      </c>
      <c r="L13" t="n">
        <v>93</v>
      </c>
      <c r="M13" t="inlineStr">
        <is>
          <t>Gorizia/Šempeter SI&gt;IT (Plinovodi + Snam Rete Gas)</t>
        </is>
      </c>
    </row>
    <row r="14">
      <c r="E14" t="inlineStr">
        <is>
          <t>ICGB</t>
        </is>
      </c>
      <c r="F14" t="inlineStr">
        <is>
          <t>ICGB</t>
        </is>
      </c>
      <c r="G14" t="n">
        <v>131</v>
      </c>
      <c r="H14" t="n">
        <v>2</v>
      </c>
      <c r="J14" t="inlineStr">
        <is>
          <t>Kireevo/Zaychar BG&gt;RS (Bulgartransgaz + Gastrans)</t>
        </is>
      </c>
      <c r="K14" t="n">
        <v>9</v>
      </c>
      <c r="L14" t="n">
        <v>59</v>
      </c>
      <c r="M14" t="inlineStr">
        <is>
          <t>Kireevo/Zaychar BG&gt;RS (Bulgartransgaz + Gastrans)</t>
        </is>
      </c>
    </row>
    <row r="15">
      <c r="E15" t="inlineStr">
        <is>
          <t>NET4GAS</t>
        </is>
      </c>
      <c r="F15" t="inlineStr">
        <is>
          <t>NET4GAS</t>
        </is>
      </c>
      <c r="G15" t="n">
        <v>133</v>
      </c>
      <c r="H15" t="n">
        <v>6</v>
      </c>
      <c r="J15" t="inlineStr">
        <is>
          <t>Kiskundorozsma 2 RS&gt;HU (Gastrans + FGSZ)</t>
        </is>
      </c>
      <c r="K15" t="n">
        <v>62</v>
      </c>
      <c r="L15" t="n">
        <v>35</v>
      </c>
      <c r="M15" t="inlineStr">
        <is>
          <t>Kiskundorozsma 2 RS&gt;HU (Gastrans + FGSZ)</t>
        </is>
      </c>
    </row>
    <row r="16">
      <c r="E16" t="inlineStr">
        <is>
          <t>Open Grid Europe</t>
        </is>
      </c>
      <c r="F16" t="inlineStr">
        <is>
          <t>OGE</t>
        </is>
      </c>
      <c r="G16" t="n">
        <v>139</v>
      </c>
      <c r="H16" t="n">
        <v>2</v>
      </c>
      <c r="J16" t="inlineStr">
        <is>
          <t>Komotini TAP&gt;ICGB (Trans Adriatic Pipeline + ICGB)</t>
        </is>
      </c>
      <c r="K16" t="n">
        <v>99</v>
      </c>
      <c r="L16" t="n">
        <v>73</v>
      </c>
      <c r="M16" t="inlineStr">
        <is>
          <t>Komotini TAP&gt;ICGB (Trans Adriatic Pipeline + ICGB)</t>
        </is>
      </c>
    </row>
    <row r="17">
      <c r="E17" t="inlineStr">
        <is>
          <t>Plinacro</t>
        </is>
      </c>
      <c r="F17" t="inlineStr">
        <is>
          <t>plinacr</t>
        </is>
      </c>
      <c r="G17" t="n">
        <v>141</v>
      </c>
      <c r="H17" t="n">
        <v>4</v>
      </c>
      <c r="J17" t="inlineStr">
        <is>
          <t>Kulata/Sidirokastron BG&gt;GR (Bulgartransgaz + DESFA)</t>
        </is>
      </c>
      <c r="K17" t="n">
        <v>10</v>
      </c>
      <c r="L17" t="n">
        <v>16</v>
      </c>
      <c r="M17" t="inlineStr">
        <is>
          <t>Kulata/Sidirokastron BG&gt;GR (Bulgartransgaz + DESFA)</t>
        </is>
      </c>
    </row>
    <row r="18">
      <c r="E18" t="inlineStr">
        <is>
          <t>Plinovodi</t>
        </is>
      </c>
      <c r="F18" t="inlineStr">
        <is>
          <t>Plinovo</t>
        </is>
      </c>
      <c r="G18" t="n">
        <v>145</v>
      </c>
      <c r="H18" t="n">
        <v>6</v>
      </c>
      <c r="J18" t="inlineStr">
        <is>
          <t>Kulata/Sidirokastron GR&gt;BG (DESFA + Bulgartransgaz)</t>
        </is>
      </c>
      <c r="K18" t="n">
        <v>19</v>
      </c>
      <c r="L18" t="n">
        <v>3</v>
      </c>
      <c r="M18" t="inlineStr">
        <is>
          <t>Kulata/Sidirokastron GR&gt;BG (DESFA + Bulgartransgaz)</t>
        </is>
      </c>
    </row>
    <row r="19">
      <c r="E19" t="inlineStr">
        <is>
          <t>Snam Rete Gas</t>
        </is>
      </c>
      <c r="F19" t="inlineStr">
        <is>
          <t>snam</t>
        </is>
      </c>
      <c r="G19" t="n">
        <v>151</v>
      </c>
      <c r="H19" t="n">
        <v>5</v>
      </c>
      <c r="J19" t="inlineStr">
        <is>
          <t>Lanžhot CZ&gt;SK (NET4GAS + Eustream)</t>
        </is>
      </c>
      <c r="K19" t="n">
        <v>79</v>
      </c>
      <c r="L19" t="n">
        <v>23</v>
      </c>
      <c r="M19" t="inlineStr">
        <is>
          <t>Lanžhot CZ&gt;SK (NET4GAS + Eustream)</t>
        </is>
      </c>
    </row>
    <row r="20">
      <c r="E20" t="inlineStr">
        <is>
          <t>Trans Adriatic Pipeline</t>
        </is>
      </c>
      <c r="F20" t="inlineStr">
        <is>
          <t>TAP</t>
        </is>
      </c>
      <c r="G20" t="n">
        <v>156</v>
      </c>
      <c r="H20" t="n">
        <v>4</v>
      </c>
      <c r="J20" t="inlineStr">
        <is>
          <t>Lanžhot SK&gt;CZ (Eustream + NET4GAS)</t>
        </is>
      </c>
      <c r="K20" t="n">
        <v>28</v>
      </c>
      <c r="L20" t="n">
        <v>76</v>
      </c>
      <c r="M20" t="inlineStr">
        <is>
          <t>Lanžhot SK&gt;CZ (Eustream + NET4GAS)</t>
        </is>
      </c>
    </row>
    <row r="21">
      <c r="E21" t="inlineStr">
        <is>
          <t>Trans Austria Gasleitung</t>
        </is>
      </c>
      <c r="F21" t="inlineStr">
        <is>
          <t>TAG</t>
        </is>
      </c>
      <c r="G21" t="n">
        <v>160</v>
      </c>
      <c r="H21" t="n">
        <v>2</v>
      </c>
      <c r="J21" t="inlineStr">
        <is>
          <t>Mosonmagyaróvár AT&gt;HU (Gas Connect Austria + FGSZ)</t>
        </is>
      </c>
      <c r="K21" t="n">
        <v>50</v>
      </c>
      <c r="L21" t="n">
        <v>36</v>
      </c>
      <c r="M21" t="inlineStr">
        <is>
          <t>Mosonmagyaróvár AT&gt;HU (Gas Connect Austria + FGSZ)</t>
        </is>
      </c>
    </row>
    <row r="22">
      <c r="E22" t="inlineStr">
        <is>
          <t>Transgaz</t>
        </is>
      </c>
      <c r="F22" t="inlineStr">
        <is>
          <t>TRANSGA</t>
        </is>
      </c>
      <c r="G22" t="n">
        <v>162</v>
      </c>
      <c r="H22" t="n">
        <v>6</v>
      </c>
      <c r="J22" t="inlineStr">
        <is>
          <t>Murfeld/Ceršak AT&gt;SI (Gas Connect Austria + Plinovodi)</t>
        </is>
      </c>
      <c r="K22" t="n">
        <v>51</v>
      </c>
      <c r="L22" t="n">
        <v>88</v>
      </c>
      <c r="M22" t="inlineStr">
        <is>
          <t>Murfeld/Ceršak AT&gt;SI (Gas Connect Austria + Plinovodi)</t>
        </is>
      </c>
    </row>
    <row r="23">
      <c r="J23" t="inlineStr">
        <is>
          <t>Nea Mesimvria TAP&gt;GR (Trans Adriatic Pipeline + DESFA)</t>
        </is>
      </c>
      <c r="K23" t="n">
        <v>101</v>
      </c>
      <c r="L23" t="n">
        <v>17</v>
      </c>
      <c r="M23" t="inlineStr">
        <is>
          <t>Nea Mesimvria TAP&gt;GR (Trans Adriatic Pipeline + DESFA)</t>
        </is>
      </c>
    </row>
    <row r="24">
      <c r="J24" t="inlineStr">
        <is>
          <t>Negru Voda 1/Kardam BG&gt;RO (Bulgartransgaz + Transgaz)</t>
        </is>
      </c>
      <c r="K24" t="n">
        <v>12</v>
      </c>
      <c r="L24" t="n">
        <v>105</v>
      </c>
      <c r="M24" t="inlineStr">
        <is>
          <t>Negru Voda 1/Kardam BG&gt;RO (Bulgartransgaz + Transgaz)</t>
        </is>
      </c>
    </row>
    <row r="25">
      <c r="J25" t="inlineStr">
        <is>
          <t>Negru Voda 1/Kardam RO&gt;BG (Transgaz + Bulgartransgaz)</t>
        </is>
      </c>
      <c r="K25" t="n">
        <v>108</v>
      </c>
      <c r="L25" t="n">
        <v>4</v>
      </c>
      <c r="M25" t="inlineStr">
        <is>
          <t>Negru Voda 1/Kardam RO&gt;BG (Transgaz + Bulgartransgaz)</t>
        </is>
      </c>
    </row>
    <row r="26">
      <c r="J26" t="inlineStr">
        <is>
          <t>Rogatec CR&gt;SI (Plinacro + Plinovodi)</t>
        </is>
      </c>
      <c r="K26" t="n">
        <v>86</v>
      </c>
      <c r="L26" t="n">
        <v>89</v>
      </c>
      <c r="M26" t="inlineStr">
        <is>
          <t>Rogatec CR&gt;SI (Plinacro + Plinovodi)</t>
        </is>
      </c>
    </row>
    <row r="27">
      <c r="J27" t="inlineStr">
        <is>
          <t>Rogatec SI&gt;CR (Plinovodi + Plinacro)</t>
        </is>
      </c>
      <c r="K27" t="n">
        <v>92</v>
      </c>
      <c r="L27" t="n">
        <v>84</v>
      </c>
      <c r="M27" t="inlineStr">
        <is>
          <t>Rogatec SI&gt;CR (Plinovodi + Plinacro)</t>
        </is>
      </c>
    </row>
    <row r="28">
      <c r="J28" t="inlineStr">
        <is>
          <t>Ruse/Giurgiu BG&gt;RO (Bulgartransgaz + Transgaz)</t>
        </is>
      </c>
      <c r="K28" t="n">
        <v>13</v>
      </c>
      <c r="L28" t="n">
        <v>106</v>
      </c>
      <c r="M28" t="inlineStr">
        <is>
          <t>Ruse/Giurgiu BG&gt;RO (Bulgartransgaz + Transgaz)</t>
        </is>
      </c>
    </row>
    <row r="29">
      <c r="J29" t="inlineStr">
        <is>
          <t>Ruse/Giurgiu RO&gt;BG (Transgaz + Bulgartransgaz)</t>
        </is>
      </c>
      <c r="K29" t="n">
        <v>109</v>
      </c>
      <c r="L29" t="n">
        <v>5</v>
      </c>
      <c r="M29" t="inlineStr">
        <is>
          <t>Ruse/Giurgiu RO&gt;BG (Transgaz + Bulgartransgaz)</t>
        </is>
      </c>
    </row>
    <row r="30">
      <c r="J30" t="inlineStr">
        <is>
          <t>Stara Zagora ICGB&gt;BG (ICGB + Bulgartransgaz)</t>
        </is>
      </c>
      <c r="K30" t="n">
        <v>74</v>
      </c>
      <c r="L30" t="n">
        <v>6</v>
      </c>
      <c r="M30" t="inlineStr">
        <is>
          <t>Stara Zagora ICGB&gt;BG (ICGB + Bulgartransgaz)</t>
        </is>
      </c>
    </row>
    <row r="31">
      <c r="J31" t="inlineStr">
        <is>
          <t>Tarvisio/Arnoldstein AT&gt;IT (Trans Austria Gasleitung + Snam Rete Gas)</t>
        </is>
      </c>
      <c r="K31" t="n">
        <v>103</v>
      </c>
      <c r="L31" t="n">
        <v>95</v>
      </c>
      <c r="M31" t="inlineStr">
        <is>
          <t>Tarvisio/Arnoldstein AT&gt;IT (Trans Austria Gasleitung + Snam Rete Gas)</t>
        </is>
      </c>
    </row>
    <row r="32">
      <c r="J32" t="inlineStr">
        <is>
          <t>Tarvisio/Arnoldstein IT&gt;AT (Snam Rete Gas + Trans Austria Gasleitung)</t>
        </is>
      </c>
      <c r="K32" t="n">
        <v>97</v>
      </c>
      <c r="L32" t="n">
        <v>102</v>
      </c>
      <c r="M32" t="inlineStr">
        <is>
          <t>Tarvisio/Arnoldstein IT&gt;AT (Snam Rete Gas + Trans Austria Gasleitung)</t>
        </is>
      </c>
    </row>
    <row r="33">
      <c r="J33" t="inlineStr">
        <is>
          <t>Uzhgorod/Velké Kapušany SK&gt;UA (Eustream + Gas TSO of Ukraine)</t>
        </is>
      </c>
      <c r="K33" t="n">
        <v>29</v>
      </c>
      <c r="L33" t="n">
        <v>53</v>
      </c>
      <c r="M33" t="inlineStr">
        <is>
          <t>Uzhgorod/Velké Kapušany SK&gt;UA (Eustream + Gas TSO of Ukraine)</t>
        </is>
      </c>
    </row>
    <row r="34">
      <c r="J34" t="inlineStr">
        <is>
          <t>Uzhgorod/Velké Kapušany UA&gt;SK (Gas TSO of Ukraine + Eustream)</t>
        </is>
      </c>
      <c r="K34" t="n">
        <v>55</v>
      </c>
      <c r="L34" t="n">
        <v>24</v>
      </c>
      <c r="M34" t="inlineStr">
        <is>
          <t>Uzhgorod/Velké Kapušany UA&gt;SK (Gas TSO of Ukraine + Eustream)</t>
        </is>
      </c>
    </row>
    <row r="35">
      <c r="J35" t="inlineStr">
        <is>
          <t>VIP Bereg HU&gt;UA (FGSZ + Gas TSO of Ukraine)</t>
        </is>
      </c>
      <c r="K35" t="n">
        <v>44</v>
      </c>
      <c r="L35" t="n">
        <v>54</v>
      </c>
      <c r="M35" t="inlineStr">
        <is>
          <t>VIP Bereg HU&gt;UA (FGSZ + Gas TSO of Ukraine)</t>
        </is>
      </c>
    </row>
    <row r="36">
      <c r="J36" t="inlineStr">
        <is>
          <t>VIP Bereg UA&gt;HU (Gas TSO of Ukraine + FGSZ)</t>
        </is>
      </c>
      <c r="K36" t="n">
        <v>56</v>
      </c>
      <c r="L36" t="n">
        <v>37</v>
      </c>
      <c r="M36" t="inlineStr">
        <is>
          <t>VIP Bereg UA&gt;HU (Gas TSO of Ukraine + FGSZ)</t>
        </is>
      </c>
    </row>
    <row r="37">
      <c r="J37" t="inlineStr">
        <is>
          <t>VIP Brandov-GASPOOL CZ&gt;DE (NET4GAS + GASCADE)</t>
        </is>
      </c>
      <c r="K37" t="n">
        <v>80</v>
      </c>
      <c r="L37" t="n">
        <v>57</v>
      </c>
      <c r="M37" t="inlineStr">
        <is>
          <t>VIP Brandov-GASPOOL CZ&gt;DE (NET4GAS + GASCADE)</t>
        </is>
      </c>
    </row>
    <row r="38">
      <c r="J38" t="inlineStr">
        <is>
          <t>VIP Brandov-GASPOOL DE&gt;CZ (GASCADE + NET4GAS)</t>
        </is>
      </c>
      <c r="K38" t="n">
        <v>58</v>
      </c>
      <c r="L38" t="n">
        <v>77</v>
      </c>
      <c r="M38" t="inlineStr">
        <is>
          <t>VIP Brandov-GASPOOL DE&gt;CZ (GASCADE + NET4GAS)</t>
        </is>
      </c>
    </row>
    <row r="39">
      <c r="J39" t="inlineStr">
        <is>
          <t>VIP Oberkappel AT&gt;DE (Gas Connect Austria + Open Grid Europe)</t>
        </is>
      </c>
      <c r="K39" t="n">
        <v>52</v>
      </c>
      <c r="L39" t="n">
        <v>81</v>
      </c>
      <c r="M39" t="inlineStr">
        <is>
          <t>VIP Oberkappel AT&gt;DE (Gas Connect Austria + Open Grid Europe)</t>
        </is>
      </c>
    </row>
    <row r="40">
      <c r="J40" t="inlineStr">
        <is>
          <t>VIP Oberkappel DE&gt;AT (Open Grid Europe + Gas Connect Austria)</t>
        </is>
      </c>
      <c r="K40" t="n">
        <v>82</v>
      </c>
      <c r="L40" t="n">
        <v>48</v>
      </c>
      <c r="M40" t="inlineStr">
        <is>
          <t>VIP Oberkappel DE&gt;AT (Open Grid Europe + Gas Connect Austria)</t>
        </is>
      </c>
    </row>
    <row r="41">
      <c r="J41" t="inlineStr">
        <is>
          <t>VIP TTF-THE-H DE&gt;NL (Gasunie Deutschland + Gasunie Transport Services)</t>
        </is>
      </c>
      <c r="K41" t="n">
        <v>64</v>
      </c>
      <c r="L41" t="n">
        <v>65</v>
      </c>
      <c r="M41" t="inlineStr">
        <is>
          <t>VIP TTF-THE-H DE&gt;NL (Gasunie Deutschland + Gasunie Transport Services)</t>
        </is>
      </c>
    </row>
    <row r="42">
      <c r="J42" t="inlineStr">
        <is>
          <t>VIP TTF-THE-H NL&gt;DE (Gasunie Transport Services + Gasunie Deutschland)</t>
        </is>
      </c>
      <c r="K42" t="n">
        <v>66</v>
      </c>
      <c r="L42" t="n">
        <v>63</v>
      </c>
      <c r="M42" t="inlineStr">
        <is>
          <t>VIP TTF-THE-H NL&gt;DE (Gasunie Transport Services + Gasunie Deutschland)</t>
        </is>
      </c>
    </row>
    <row r="43">
      <c r="J43" t="inlineStr">
        <is>
          <t>Vyrava PL&gt;SK (GAZ-SYSTEM + Eustream)</t>
        </is>
      </c>
      <c r="K43" t="n">
        <v>72</v>
      </c>
      <c r="L43" t="n">
        <v>25</v>
      </c>
      <c r="M43" t="inlineStr">
        <is>
          <t>Vyrava PL&gt;SK (GAZ-SYSTEM + Eustream)</t>
        </is>
      </c>
    </row>
    <row r="44">
      <c r="J44" t="inlineStr">
        <is>
          <t>Vyrava SK&gt;PL (Eustream + GAZ-SYSTEM)</t>
        </is>
      </c>
      <c r="K44" t="n">
        <v>30</v>
      </c>
      <c r="L44" t="n">
        <v>69</v>
      </c>
      <c r="M44" t="inlineStr">
        <is>
          <t>Vyrava SK&gt;PL (Eustream + GAZ-SYSTEM)</t>
        </is>
      </c>
    </row>
    <row r="45">
      <c r="J45" t="inlineStr">
        <is>
          <t>Agia Triada (DESFA)</t>
        </is>
      </c>
      <c r="K45" t="n">
        <v>110</v>
      </c>
      <c r="M45" t="inlineStr">
        <is>
          <t>Agia Triada (DESFA)</t>
        </is>
      </c>
    </row>
    <row r="46">
      <c r="J46" t="inlineStr">
        <is>
          <t>Amfitriti (DESFA)</t>
        </is>
      </c>
      <c r="K46" t="n">
        <v>111</v>
      </c>
      <c r="M46" t="inlineStr">
        <is>
          <t>Amfitriti (DESFA)</t>
        </is>
      </c>
    </row>
    <row r="47">
      <c r="J47" t="inlineStr">
        <is>
          <t>Brunsbüttel Hafen (Gasunie Deutschland)</t>
        </is>
      </c>
      <c r="K47" t="n">
        <v>112</v>
      </c>
      <c r="M47" t="inlineStr">
        <is>
          <t>Brunsbüttel Hafen (Gasunie Deutschland)</t>
        </is>
      </c>
    </row>
    <row r="48">
      <c r="J48" t="inlineStr">
        <is>
          <t>Cavarzere (Snam Rete Gas)</t>
        </is>
      </c>
      <c r="K48" t="n">
        <v>113</v>
      </c>
      <c r="M48" t="inlineStr">
        <is>
          <t>Cavarzere (Snam Rete Gas)</t>
        </is>
      </c>
    </row>
    <row r="49">
      <c r="J49" t="inlineStr">
        <is>
          <t>Eems Energy Terminal (Gasunie Transport Services)</t>
        </is>
      </c>
      <c r="K49" t="n">
        <v>114</v>
      </c>
      <c r="M49" t="inlineStr">
        <is>
          <t>Eems Energy Terminal (Gasunie Transport Services)</t>
        </is>
      </c>
    </row>
    <row r="50">
      <c r="J50" t="inlineStr">
        <is>
          <t>Gate Terminal (Gasunie Transport Services)</t>
        </is>
      </c>
      <c r="K50" t="n">
        <v>115</v>
      </c>
      <c r="M50" t="inlineStr">
        <is>
          <t>Gate Terminal (Gasunie Transport Services)</t>
        </is>
      </c>
    </row>
    <row r="51">
      <c r="J51" t="inlineStr">
        <is>
          <t>Klaipeda (Amber Grid)</t>
        </is>
      </c>
      <c r="K51" t="n">
        <v>116</v>
      </c>
      <c r="M51" t="inlineStr">
        <is>
          <t>Klaipeda (Amber Grid)</t>
        </is>
      </c>
    </row>
    <row r="52">
      <c r="J52" t="inlineStr">
        <is>
          <t>Omišalj (Plinacro)</t>
        </is>
      </c>
      <c r="K52" t="n">
        <v>117</v>
      </c>
      <c r="M52" t="inlineStr">
        <is>
          <t>Omišalj (Plinacro)</t>
        </is>
      </c>
    </row>
    <row r="53">
      <c r="J53" t="inlineStr">
        <is>
          <t>Panigaglia (Snam Rete Gas)</t>
        </is>
      </c>
      <c r="K53" t="n">
        <v>118</v>
      </c>
      <c r="M53" t="inlineStr">
        <is>
          <t>Panigaglia (Snam Rete Gas)</t>
        </is>
      </c>
    </row>
    <row r="54">
      <c r="J54" t="inlineStr">
        <is>
          <t>Piombino (Snam Rete Gas)</t>
        </is>
      </c>
      <c r="K54" t="n">
        <v>119</v>
      </c>
      <c r="M54" t="inlineStr">
        <is>
          <t>Piombino (Snam Rete Gas)</t>
        </is>
      </c>
    </row>
    <row r="55">
      <c r="J55" t="inlineStr">
        <is>
          <t>Ravenna (Snam Rete Gas)</t>
        </is>
      </c>
      <c r="K55" t="n">
        <v>120</v>
      </c>
      <c r="M55" t="inlineStr">
        <is>
          <t>Ravenna (Snam Rete Gas)</t>
        </is>
      </c>
    </row>
    <row r="56">
      <c r="J56" t="inlineStr">
        <is>
          <t>Stade Hafen (Gasunie Deutschland)</t>
        </is>
      </c>
      <c r="K56" t="n">
        <v>121</v>
      </c>
      <c r="M56" t="inlineStr">
        <is>
          <t>Stade Hafen (Gasunie Deutschland)</t>
        </is>
      </c>
    </row>
    <row r="57">
      <c r="J57" t="inlineStr">
        <is>
          <t>Wilhelmshaven (Open Grid Europe)</t>
        </is>
      </c>
      <c r="K57" t="n">
        <v>122</v>
      </c>
      <c r="M57" t="inlineStr">
        <is>
          <t>Wilhelmshaven (Open Grid Europe)</t>
        </is>
      </c>
    </row>
    <row r="58">
      <c r="J58" t="inlineStr">
        <is>
          <t>Świnoujście (GAZ-SYSTEM)</t>
        </is>
      </c>
      <c r="K58" t="n">
        <v>123</v>
      </c>
      <c r="M58" t="inlineStr">
        <is>
          <t>Świnoujście (GAZ-SYSTEM)</t>
        </is>
      </c>
    </row>
    <row r="59">
      <c r="J59" t="inlineStr">
        <is>
          <t>Santaka LT&gt;PL (21Z180960164W65R)</t>
        </is>
      </c>
      <c r="K59" t="n">
        <v>1</v>
      </c>
      <c r="M59" t="inlineStr">
        <is>
          <t>Amber Grid Santaka LT&gt;PL (21Z180960164W65R)</t>
        </is>
      </c>
    </row>
    <row r="60">
      <c r="J60" t="inlineStr">
        <is>
          <t>Kireevo/Zaychar RS&gt;BG (58Z-000000007-KZ)</t>
        </is>
      </c>
      <c r="K60" t="n">
        <v>2</v>
      </c>
      <c r="M60" t="inlineStr">
        <is>
          <t>Bulgartransgaz Kireevo/Zaychar RS&gt;BG (58Z-000000007-KZ)</t>
        </is>
      </c>
    </row>
    <row r="61">
      <c r="J61" t="inlineStr">
        <is>
          <t>Kulata/Sidirokastron GR&gt;BG (21Z000000000020C)</t>
        </is>
      </c>
      <c r="K61" t="n">
        <v>3</v>
      </c>
      <c r="M61" t="inlineStr">
        <is>
          <t>Bulgartransgaz Kulata/Sidirokastron GR&gt;BG (21Z000000000020C)</t>
        </is>
      </c>
    </row>
    <row r="62">
      <c r="J62" t="inlineStr">
        <is>
          <t>Negru Voda 1/Kardam RO&gt;BG (21Z000000000159I)</t>
        </is>
      </c>
      <c r="K62" t="n">
        <v>4</v>
      </c>
      <c r="M62" t="inlineStr">
        <is>
          <t>Bulgartransgaz Negru Voda 1/Kardam RO&gt;BG (21Z000000000159I)</t>
        </is>
      </c>
    </row>
    <row r="63">
      <c r="J63" t="inlineStr">
        <is>
          <t>Ruse/Giurgiu RO&gt;BG (21Z0000000002798)</t>
        </is>
      </c>
      <c r="K63" t="n">
        <v>5</v>
      </c>
      <c r="M63" t="inlineStr">
        <is>
          <t>Bulgartransgaz Ruse/Giurgiu RO&gt;BG (21Z0000000002798)</t>
        </is>
      </c>
    </row>
    <row r="64">
      <c r="J64" t="inlineStr">
        <is>
          <t>Stara Zagora ICGB&gt;BG (58Z-IP-00034-STZ)</t>
        </is>
      </c>
      <c r="K64" t="n">
        <v>6</v>
      </c>
      <c r="M64" t="inlineStr">
        <is>
          <t>Bulgartransgaz Stara Zagora ICGB&gt;BG (58Z-IP-00034-STZ)</t>
        </is>
      </c>
    </row>
    <row r="65">
      <c r="J65" t="inlineStr">
        <is>
          <t>Strandzha 1/Malkoclar TR&gt;BG (21Z000000000157M)</t>
        </is>
      </c>
      <c r="K65" t="n">
        <v>7</v>
      </c>
      <c r="M65" t="inlineStr">
        <is>
          <t>Bulgartransgaz Strandzha 1/Malkoclar TR&gt;BG (21Z000000000157M)</t>
        </is>
      </c>
    </row>
    <row r="66">
      <c r="J66" t="inlineStr">
        <is>
          <t>Strandzha 2/Malkoclar TR&gt;BG (58Z-00000015-S2M)</t>
        </is>
      </c>
      <c r="K66" t="n">
        <v>8</v>
      </c>
      <c r="M66" t="inlineStr">
        <is>
          <t>Bulgartransgaz Strandzha 2/Malkoclar TR&gt;BG (58Z-00000015-S2M)</t>
        </is>
      </c>
    </row>
    <row r="67">
      <c r="J67" t="inlineStr">
        <is>
          <t>Kireevo/Zaychar BG&gt;RS (58Z-000000007-KZ)</t>
        </is>
      </c>
      <c r="K67" t="n">
        <v>9</v>
      </c>
      <c r="M67" t="inlineStr">
        <is>
          <t>Bulgartransgaz Kireevo/Zaychar BG&gt;RS (58Z-000000007-KZ)</t>
        </is>
      </c>
    </row>
    <row r="68">
      <c r="J68" t="inlineStr">
        <is>
          <t>Kulata/Sidirokastron BG&gt;GR (21Z000000000020C)</t>
        </is>
      </c>
      <c r="K68" t="n">
        <v>10</v>
      </c>
      <c r="M68" t="inlineStr">
        <is>
          <t>Bulgartransgaz Kulata/Sidirokastron BG&gt;GR (21Z000000000020C)</t>
        </is>
      </c>
    </row>
    <row r="69">
      <c r="J69" t="inlineStr">
        <is>
          <t>Kyustendil/Zidilovo BG&gt;MK (21Z000000000137S)</t>
        </is>
      </c>
      <c r="K69" t="n">
        <v>11</v>
      </c>
      <c r="M69" t="inlineStr">
        <is>
          <t>Bulgartransgaz Kyustendil/Zidilovo BG&gt;MK (21Z000000000137S)</t>
        </is>
      </c>
    </row>
    <row r="70">
      <c r="J70" t="inlineStr">
        <is>
          <t>Negru Voda 1/Kardam BG&gt;RO (21Z000000000159I)</t>
        </is>
      </c>
      <c r="K70" t="n">
        <v>12</v>
      </c>
      <c r="M70" t="inlineStr">
        <is>
          <t>Bulgartransgaz Negru Voda 1/Kardam BG&gt;RO (21Z000000000159I)</t>
        </is>
      </c>
    </row>
    <row r="71">
      <c r="J71" t="inlineStr">
        <is>
          <t>Ruse/Giurgiu BG&gt;RO (21Z0000000002798)</t>
        </is>
      </c>
      <c r="K71" t="n">
        <v>13</v>
      </c>
      <c r="M71" t="inlineStr">
        <is>
          <t>Bulgartransgaz Ruse/Giurgiu BG&gt;RO (21Z0000000002798)</t>
        </is>
      </c>
    </row>
    <row r="72">
      <c r="J72" t="inlineStr">
        <is>
          <t>Strandzha 1/Malkoclar BG&gt;TR (21Z000000000157M)</t>
        </is>
      </c>
      <c r="K72" t="n">
        <v>14</v>
      </c>
      <c r="M72" t="inlineStr">
        <is>
          <t>Bulgartransgaz Strandzha 1/Malkoclar BG&gt;TR (21Z000000000157M)</t>
        </is>
      </c>
    </row>
    <row r="73">
      <c r="J73" t="inlineStr">
        <is>
          <t>Kipi TR&gt;GR (21Z000000000233W)</t>
        </is>
      </c>
      <c r="K73" t="n">
        <v>15</v>
      </c>
      <c r="M73" t="inlineStr">
        <is>
          <t>DESFA Kipi TR&gt;GR (21Z000000000233W)</t>
        </is>
      </c>
    </row>
    <row r="74">
      <c r="J74" t="inlineStr">
        <is>
          <t>Kulata/Sidirokastron BG&gt;GR (21Z000000000020C)</t>
        </is>
      </c>
      <c r="K74" t="n">
        <v>16</v>
      </c>
      <c r="M74" t="inlineStr">
        <is>
          <t>DESFA Kulata/Sidirokastron BG&gt;GR (21Z000000000020C)</t>
        </is>
      </c>
    </row>
    <row r="75">
      <c r="J75" t="inlineStr">
        <is>
          <t>Nea Mesimvria TAP&gt;GR (21Z000000000473C)</t>
        </is>
      </c>
      <c r="K75" t="n">
        <v>17</v>
      </c>
      <c r="M75" t="inlineStr">
        <is>
          <t>DESFA Nea Mesimvria TAP&gt;GR (21Z000000000473C)</t>
        </is>
      </c>
    </row>
    <row r="76">
      <c r="J76" t="inlineStr">
        <is>
          <t>Komotini DESFA&gt;IGB (21Z0000000005398)</t>
        </is>
      </c>
      <c r="K76" t="n">
        <v>18</v>
      </c>
      <c r="M76" t="inlineStr">
        <is>
          <t>DESFA Komotini DESFA&gt;IGB (21Z0000000005398)</t>
        </is>
      </c>
    </row>
    <row r="77">
      <c r="J77" t="inlineStr">
        <is>
          <t>Kulata/Sidirokastron GR&gt;BG (21Z000000000020C)</t>
        </is>
      </c>
      <c r="K77" t="n">
        <v>19</v>
      </c>
      <c r="M77" t="inlineStr">
        <is>
          <t>DESFA Kulata/Sidirokastron GR&gt;BG (21Z000000000020C)</t>
        </is>
      </c>
    </row>
    <row r="78">
      <c r="J78" t="inlineStr">
        <is>
          <t>Nea Mesimvria GR&gt;TAP (21Z000000000473C)</t>
        </is>
      </c>
      <c r="K78" t="n">
        <v>20</v>
      </c>
      <c r="M78" t="inlineStr">
        <is>
          <t>DESFA Nea Mesimvria GR&gt;TAP (21Z000000000473C)</t>
        </is>
      </c>
    </row>
    <row r="79">
      <c r="J79" t="inlineStr">
        <is>
          <t>Balassagyarmat HU&gt;SK (21Z000000000358C)</t>
        </is>
      </c>
      <c r="K79" t="n">
        <v>21</v>
      </c>
      <c r="M79" t="inlineStr">
        <is>
          <t>Eustream Balassagyarmat HU&gt;SK (21Z000000000358C)</t>
        </is>
      </c>
    </row>
    <row r="80">
      <c r="J80" t="inlineStr">
        <is>
          <t>Baumgarten AT&gt;SK (21Y---A001A023-Y)</t>
        </is>
      </c>
      <c r="K80" t="n">
        <v>22</v>
      </c>
      <c r="M80" t="inlineStr">
        <is>
          <t>Eustream Baumgarten AT&gt;SK (21Y---A001A023-Y)</t>
        </is>
      </c>
    </row>
    <row r="81">
      <c r="J81" t="inlineStr">
        <is>
          <t>Lanžhot CZ&gt;SK (21Z000000000061Z)</t>
        </is>
      </c>
      <c r="K81" t="n">
        <v>23</v>
      </c>
      <c r="M81" t="inlineStr">
        <is>
          <t>Eustream Lanžhot CZ&gt;SK (21Z000000000061Z)</t>
        </is>
      </c>
    </row>
    <row r="82">
      <c r="J82" t="inlineStr">
        <is>
          <t>Uzhgorod/Velké Kapušany UA&gt;SK (21Z000000000085L)</t>
        </is>
      </c>
      <c r="K82" t="n">
        <v>24</v>
      </c>
      <c r="M82" t="inlineStr">
        <is>
          <t>Eustream Uzhgorod/Velké Kapušany UA&gt;SK (21Z000000000085L)</t>
        </is>
      </c>
    </row>
    <row r="83">
      <c r="J83" t="inlineStr">
        <is>
          <t>Vyrava PL&gt;SK (21Z6035937275964)</t>
        </is>
      </c>
      <c r="K83" t="n">
        <v>25</v>
      </c>
      <c r="M83" t="inlineStr">
        <is>
          <t>Eustream Vyrava PL&gt;SK (21Z6035937275964)</t>
        </is>
      </c>
    </row>
    <row r="84">
      <c r="J84" t="inlineStr">
        <is>
          <t>Balassagyarmat SK&gt;HU (21Z000000000358C)</t>
        </is>
      </c>
      <c r="K84" t="n">
        <v>26</v>
      </c>
      <c r="M84" t="inlineStr">
        <is>
          <t>Eustream Balassagyarmat SK&gt;HU (21Z000000000358C)</t>
        </is>
      </c>
    </row>
    <row r="85">
      <c r="J85" t="inlineStr">
        <is>
          <t>Baumgarten SK&gt;AT (21Y---A001A023-Y)</t>
        </is>
      </c>
      <c r="K85" t="n">
        <v>27</v>
      </c>
      <c r="M85" t="inlineStr">
        <is>
          <t>Eustream Baumgarten SK&gt;AT (21Y---A001A023-Y)</t>
        </is>
      </c>
    </row>
    <row r="86">
      <c r="J86" t="inlineStr">
        <is>
          <t>Lanžhot SK&gt;CZ (21Z000000000061Z)</t>
        </is>
      </c>
      <c r="K86" t="n">
        <v>28</v>
      </c>
      <c r="M86" t="inlineStr">
        <is>
          <t>Eustream Lanžhot SK&gt;CZ (21Z000000000061Z)</t>
        </is>
      </c>
    </row>
    <row r="87">
      <c r="J87" t="inlineStr">
        <is>
          <t>Uzhgorod/Velké Kapušany SK&gt;UA (21Z000000000085L)</t>
        </is>
      </c>
      <c r="K87" t="n">
        <v>29</v>
      </c>
      <c r="M87" t="inlineStr">
        <is>
          <t>Eustream Uzhgorod/Velké Kapušany SK&gt;UA (21Z000000000085L)</t>
        </is>
      </c>
    </row>
    <row r="88">
      <c r="J88" t="inlineStr">
        <is>
          <t>Vyrava SK&gt;PL (21Z6035937275964)</t>
        </is>
      </c>
      <c r="K88" t="n">
        <v>30</v>
      </c>
      <c r="M88" t="inlineStr">
        <is>
          <t>Eustream Vyrava SK&gt;PL (21Z6035937275964)</t>
        </is>
      </c>
    </row>
    <row r="89">
      <c r="J89" t="inlineStr">
        <is>
          <t>Balassagyarmat SK&gt;HU (21Z000000000358C)</t>
        </is>
      </c>
      <c r="K89" t="n">
        <v>31</v>
      </c>
      <c r="M89" t="inlineStr">
        <is>
          <t>FGSZ Balassagyarmat SK&gt;HU (21Z000000000358C)</t>
        </is>
      </c>
    </row>
    <row r="90">
      <c r="J90" t="inlineStr">
        <is>
          <t>Beregdaróc UA&gt;HU (21Z000000000139O)</t>
        </is>
      </c>
      <c r="K90" t="n">
        <v>32</v>
      </c>
      <c r="M90" t="inlineStr">
        <is>
          <t>FGSZ Beregdaróc UA&gt;HU (21Z000000000139O)</t>
        </is>
      </c>
    </row>
    <row r="91">
      <c r="J91" t="inlineStr">
        <is>
          <t>Csanádpalota RO&gt;HU (21Z000000000236Q)</t>
        </is>
      </c>
      <c r="K91" t="n">
        <v>33</v>
      </c>
      <c r="M91" t="inlineStr">
        <is>
          <t>FGSZ Csanádpalota RO&gt;HU (21Z000000000236Q)</t>
        </is>
      </c>
    </row>
    <row r="92">
      <c r="J92" t="inlineStr">
        <is>
          <t>Drávaszerdahely CR&gt;HU (21Z000000000249H)</t>
        </is>
      </c>
      <c r="K92" t="n">
        <v>34</v>
      </c>
      <c r="M92" t="inlineStr">
        <is>
          <t>FGSZ Drávaszerdahely CR&gt;HU (21Z000000000249H)</t>
        </is>
      </c>
    </row>
    <row r="93">
      <c r="J93" t="inlineStr">
        <is>
          <t>Kiskundorozsma 2 RS&gt;HU (21Z000000000505P)</t>
        </is>
      </c>
      <c r="K93" t="n">
        <v>35</v>
      </c>
      <c r="M93" t="inlineStr">
        <is>
          <t>FGSZ Kiskundorozsma 2 RS&gt;HU (21Z000000000505P)</t>
        </is>
      </c>
    </row>
    <row r="94">
      <c r="J94" t="inlineStr">
        <is>
          <t>Mosonmagyaróvár AT&gt;HU (21Z000000000003C)</t>
        </is>
      </c>
      <c r="K94" t="n">
        <v>36</v>
      </c>
      <c r="M94" t="inlineStr">
        <is>
          <t>FGSZ Mosonmagyaróvár AT&gt;HU (21Z000000000003C)</t>
        </is>
      </c>
    </row>
    <row r="95">
      <c r="J95" t="inlineStr">
        <is>
          <t>VIP Bereg UA&gt;HU (21Z000000000507L)</t>
        </is>
      </c>
      <c r="K95" t="n">
        <v>37</v>
      </c>
      <c r="M95" t="inlineStr">
        <is>
          <t>FGSZ VIP Bereg UA&gt;HU (21Z000000000507L)</t>
        </is>
      </c>
    </row>
    <row r="96">
      <c r="J96" t="inlineStr">
        <is>
          <t>Balassagyarmat HU&gt;SK (21Z000000000358C)</t>
        </is>
      </c>
      <c r="K96" t="n">
        <v>38</v>
      </c>
      <c r="M96" t="inlineStr">
        <is>
          <t>FGSZ Balassagyarmat HU&gt;SK (21Z000000000358C)</t>
        </is>
      </c>
    </row>
    <row r="97">
      <c r="J97" t="inlineStr">
        <is>
          <t>Csanádpalota HU&gt;RO (21Z000000000236Q)</t>
        </is>
      </c>
      <c r="K97" t="n">
        <v>39</v>
      </c>
      <c r="M97" t="inlineStr">
        <is>
          <t>FGSZ Csanádpalota HU&gt;RO (21Z000000000236Q)</t>
        </is>
      </c>
    </row>
    <row r="98">
      <c r="J98" t="inlineStr">
        <is>
          <t>Drávaszerdahely HU&gt;CR (21Z000000000249H)</t>
        </is>
      </c>
      <c r="K98" t="n">
        <v>40</v>
      </c>
      <c r="M98" t="inlineStr">
        <is>
          <t>FGSZ Drávaszerdahely HU&gt;CR (21Z000000000249H)</t>
        </is>
      </c>
    </row>
    <row r="99">
      <c r="J99" t="inlineStr">
        <is>
          <t>Kiskundorozsma HU&gt;RS (21Z000000000154S)</t>
        </is>
      </c>
      <c r="K99" t="n">
        <v>41</v>
      </c>
      <c r="M99" t="inlineStr">
        <is>
          <t>FGSZ Kiskundorozsma HU&gt;RS (21Z000000000154S)</t>
        </is>
      </c>
    </row>
    <row r="100">
      <c r="J100" t="inlineStr">
        <is>
          <t>Kiskundorozsma 2 HU&gt;RS (21Z000000000505P) - Interruptible</t>
        </is>
      </c>
      <c r="K100" t="n">
        <v>42</v>
      </c>
      <c r="M100" t="inlineStr">
        <is>
          <t>FGSZ Kiskundorozsma 2 HU&gt;RS (21Z000000000505P)</t>
        </is>
      </c>
    </row>
    <row r="101">
      <c r="J101" t="inlineStr">
        <is>
          <t>Mosonmagyaróvár HU&gt;AT (21Z000000000003C) - Interruptible</t>
        </is>
      </c>
      <c r="K101" t="n">
        <v>43</v>
      </c>
      <c r="M101" t="inlineStr">
        <is>
          <t>FGSZ Mosonmagyaróvár HU&gt;AT (21Z000000000003C)</t>
        </is>
      </c>
    </row>
    <row r="102">
      <c r="J102" t="inlineStr">
        <is>
          <t>VIP Bereg HU&gt;UA (21Z000000000507L)</t>
        </is>
      </c>
      <c r="K102" t="n">
        <v>44</v>
      </c>
      <c r="M102" t="inlineStr">
        <is>
          <t>FGSZ VIP Bereg HU&gt;UA (21Z000000000507L)</t>
        </is>
      </c>
    </row>
    <row r="103">
      <c r="J103" t="inlineStr">
        <is>
          <t>Baumgarten SK&gt;AT (21Z000000000163R)</t>
        </is>
      </c>
      <c r="K103" t="n">
        <v>45</v>
      </c>
      <c r="M103" t="inlineStr">
        <is>
          <t>Gas Connect Austria Baumgarten SK&gt;AT (21Z000000000163R)</t>
        </is>
      </c>
    </row>
    <row r="104">
      <c r="J104" t="inlineStr">
        <is>
          <t>Mosonmagyaróvár HU&gt;AT (21Z000000000003C) - Interruptible</t>
        </is>
      </c>
      <c r="K104" t="n">
        <v>46</v>
      </c>
      <c r="M104" t="inlineStr">
        <is>
          <t>Gas Connect Austria Mosonmagyaróvár HU&gt;AT (21Z000000000003C)</t>
        </is>
      </c>
    </row>
    <row r="105">
      <c r="J105" t="inlineStr">
        <is>
          <t>Murfeld/Ceršak SI&gt;AT (21Z0000000000058) - Interruptible</t>
        </is>
      </c>
      <c r="K105" t="n">
        <v>47</v>
      </c>
      <c r="M105" t="inlineStr">
        <is>
          <t>Gas Connect Austria Murfeld/Ceršak SI&gt;AT (21Z0000000000058)</t>
        </is>
      </c>
    </row>
    <row r="106">
      <c r="J106" t="inlineStr">
        <is>
          <t>VIP Oberkappel DE&gt;AT (21Z000000000490C)</t>
        </is>
      </c>
      <c r="K106" t="n">
        <v>48</v>
      </c>
      <c r="M106" t="inlineStr">
        <is>
          <t>Gas Connect Austria VIP Oberkappel DE&gt;AT (21Z000000000490C)</t>
        </is>
      </c>
    </row>
    <row r="107">
      <c r="J107" t="inlineStr">
        <is>
          <t>Baumgarten AT&gt;SK (21Z000000000163R)</t>
        </is>
      </c>
      <c r="K107" t="n">
        <v>49</v>
      </c>
      <c r="M107" t="inlineStr">
        <is>
          <t>Gas Connect Austria Baumgarten AT&gt;SK (21Z000000000163R)</t>
        </is>
      </c>
    </row>
    <row r="108">
      <c r="J108" t="inlineStr">
        <is>
          <t>Mosonmagyaróvár AT&gt;HU (21Z000000000003C)</t>
        </is>
      </c>
      <c r="K108" t="n">
        <v>50</v>
      </c>
      <c r="M108" t="inlineStr">
        <is>
          <t>Gas Connect Austria Mosonmagyaróvár AT&gt;HU (21Z000000000003C)</t>
        </is>
      </c>
    </row>
    <row r="109">
      <c r="J109" t="inlineStr">
        <is>
          <t>Murfeld/Ceršak AT&gt;SI (21Z0000000000058)</t>
        </is>
      </c>
      <c r="K109" t="n">
        <v>51</v>
      </c>
      <c r="M109" t="inlineStr">
        <is>
          <t>Gas Connect Austria Murfeld/Ceršak AT&gt;SI (21Z0000000000058)</t>
        </is>
      </c>
    </row>
    <row r="110">
      <c r="J110" t="inlineStr">
        <is>
          <t>VIP Oberkappel AT&gt;DE (21Z000000000490C)</t>
        </is>
      </c>
      <c r="K110" t="n">
        <v>52</v>
      </c>
      <c r="M110" t="inlineStr">
        <is>
          <t>Gas Connect Austria VIP Oberkappel AT&gt;DE (21Z000000000490C)</t>
        </is>
      </c>
    </row>
    <row r="111">
      <c r="J111" t="inlineStr">
        <is>
          <t>Uzhgorod/Velké Kapušany SK&gt;UA (21Z000000000085L)</t>
        </is>
      </c>
      <c r="K111" t="n">
        <v>53</v>
      </c>
      <c r="M111" t="inlineStr">
        <is>
          <t>Gas TSO of Ukraine Uzhgorod/Velké Kapušany SK&gt;UA (21Z000000000085L)</t>
        </is>
      </c>
    </row>
    <row r="112">
      <c r="J112" t="inlineStr">
        <is>
          <t>VIP Bereg HU&gt;UA (21Z000000000507L)</t>
        </is>
      </c>
      <c r="K112" t="n">
        <v>54</v>
      </c>
      <c r="M112" t="inlineStr">
        <is>
          <t>Gas TSO of Ukraine VIP Bereg HU&gt;UA (21Z000000000507L)</t>
        </is>
      </c>
    </row>
    <row r="113">
      <c r="J113" t="inlineStr">
        <is>
          <t>Uzhgorod/Velké Kapušany UA&gt;SK (21Z000000000085L)</t>
        </is>
      </c>
      <c r="K113" t="n">
        <v>55</v>
      </c>
      <c r="M113" t="inlineStr">
        <is>
          <t>Gas TSO of Ukraine Uzhgorod/Velké Kapušany UA&gt;SK (21Z000000000085L)</t>
        </is>
      </c>
    </row>
    <row r="114">
      <c r="J114" t="inlineStr">
        <is>
          <t>VIP Bereg UA&gt;HU (21Z000000000507L)</t>
        </is>
      </c>
      <c r="K114" t="n">
        <v>56</v>
      </c>
      <c r="M114" t="inlineStr">
        <is>
          <t>Gas TSO of Ukraine VIP Bereg UA&gt;HU (21Z000000000507L)</t>
        </is>
      </c>
    </row>
    <row r="115">
      <c r="J115" t="inlineStr">
        <is>
          <t>VIP Brandov-GASPOOL CZ&gt;DE (21Z0000000004863)</t>
        </is>
      </c>
      <c r="K115" t="n">
        <v>57</v>
      </c>
      <c r="M115" t="inlineStr">
        <is>
          <t>GASCADE VIP Brandov-GASPOOL CZ&gt;DE (21Z0000000004863)</t>
        </is>
      </c>
    </row>
    <row r="116">
      <c r="J116" t="inlineStr">
        <is>
          <t>VIP Brandov-GASPOOL DE&gt;CZ (21Z0000000004863)</t>
        </is>
      </c>
      <c r="K116" t="n">
        <v>58</v>
      </c>
      <c r="M116" t="inlineStr">
        <is>
          <t>GASCADE VIP Brandov-GASPOOL DE&gt;CZ (21Z0000000004863)</t>
        </is>
      </c>
    </row>
    <row r="117">
      <c r="J117" t="inlineStr">
        <is>
          <t>Kireevo/Zaychar BG&gt;RS (58Z-000000007-KZ)</t>
        </is>
      </c>
      <c r="K117" t="n">
        <v>59</v>
      </c>
      <c r="M117" t="inlineStr">
        <is>
          <t>Gastrans Kireevo/Zaychar BG&gt;RS (58Z-000000007-KZ)</t>
        </is>
      </c>
    </row>
    <row r="118">
      <c r="J118" t="inlineStr">
        <is>
          <t>Kiskundorozsma 2 HU&gt;RS (21Z000000000505P) - Interruptible</t>
        </is>
      </c>
      <c r="K118" t="n">
        <v>60</v>
      </c>
      <c r="M118" t="inlineStr">
        <is>
          <t>Gastrans Kiskundorozsma 2 HU&gt;RS (21Z000000000505P)</t>
        </is>
      </c>
    </row>
    <row r="119">
      <c r="J119" t="inlineStr">
        <is>
          <t>Kireevo/Zaychar RS&gt;BG (58Z-000000007-KZ) - Interruptible</t>
        </is>
      </c>
      <c r="K119" t="n">
        <v>61</v>
      </c>
      <c r="M119" t="inlineStr">
        <is>
          <t>Gastrans Kireevo/Zaychar RS&gt;BG (58Z-000000007-KZ)</t>
        </is>
      </c>
    </row>
    <row r="120">
      <c r="J120" t="inlineStr">
        <is>
          <t>Kiskundorozsma 2 RS&gt;HU (21Z000000000505P)</t>
        </is>
      </c>
      <c r="K120" t="n">
        <v>62</v>
      </c>
      <c r="M120" t="inlineStr">
        <is>
          <t>Gastrans Kiskundorozsma 2 RS&gt;HU (21Z000000000505P)</t>
        </is>
      </c>
    </row>
    <row r="121">
      <c r="J121" t="inlineStr">
        <is>
          <t>VIP TTF-THE-H NL&gt;DE (21Z0019743987060)</t>
        </is>
      </c>
      <c r="K121" t="n">
        <v>63</v>
      </c>
      <c r="M121" t="inlineStr">
        <is>
          <t>Gasunie Deutschland VIP TTF-THE-H NL&gt;DE (21Z0019743987060)</t>
        </is>
      </c>
    </row>
    <row r="122">
      <c r="J122" t="inlineStr">
        <is>
          <t>VIP TTF-THE-H DE&gt;NL (21Z0019743987060)</t>
        </is>
      </c>
      <c r="K122" t="n">
        <v>64</v>
      </c>
      <c r="M122" t="inlineStr">
        <is>
          <t>Gasunie Deutschland VIP TTF-THE-H DE&gt;NL (21Z0019743987060)</t>
        </is>
      </c>
    </row>
    <row r="123">
      <c r="J123" t="inlineStr">
        <is>
          <t>VIP TTF-THE-H DE&gt;NL (21Z0019743987060)</t>
        </is>
      </c>
      <c r="K123" t="n">
        <v>65</v>
      </c>
      <c r="M123" t="inlineStr">
        <is>
          <t>Gasunie Transport Services VIP TTF-THE-H DE&gt;NL (21Z0019743987060)</t>
        </is>
      </c>
    </row>
    <row r="124">
      <c r="J124" t="inlineStr">
        <is>
          <t>VIP TTF-THE-H NL&gt;DE (21Z0019743987060)</t>
        </is>
      </c>
      <c r="K124" t="n">
        <v>66</v>
      </c>
      <c r="M124" t="inlineStr">
        <is>
          <t>Gasunie Transport Services VIP TTF-THE-H NL&gt;DE (21Z0019743987060)</t>
        </is>
      </c>
    </row>
    <row r="125">
      <c r="J125" t="inlineStr">
        <is>
          <t>Cieszyn CZ&gt;PL (21Z000000000239K)</t>
        </is>
      </c>
      <c r="K125" t="n">
        <v>67</v>
      </c>
      <c r="M125" t="inlineStr">
        <is>
          <t>GAZ-SYSTEM Cieszyn CZ&gt;PL (21Z000000000239K)</t>
        </is>
      </c>
    </row>
    <row r="126">
      <c r="J126" t="inlineStr">
        <is>
          <t>GCP GAZ-SYSTEM/UA TSO UA&gt;PL (21Z000000000508J)</t>
        </is>
      </c>
      <c r="K126" t="n">
        <v>68</v>
      </c>
      <c r="M126" t="inlineStr">
        <is>
          <t>GAZ-SYSTEM GCP GAZ-SYSTEM/UA TSO UA&gt;PL (21Z000000000508J)</t>
        </is>
      </c>
    </row>
    <row r="127">
      <c r="J127" t="inlineStr">
        <is>
          <t>Vyrava SK&gt;PL (21Z6035937275964)</t>
        </is>
      </c>
      <c r="K127" t="n">
        <v>69</v>
      </c>
      <c r="M127" t="inlineStr">
        <is>
          <t>GAZ-SYSTEM Vyrava SK&gt;PL (21Z6035937275964)</t>
        </is>
      </c>
    </row>
    <row r="128">
      <c r="J128" t="inlineStr">
        <is>
          <t>Cieszyn PL&gt;CZ (21Z000000000239K)</t>
        </is>
      </c>
      <c r="K128" t="n">
        <v>70</v>
      </c>
      <c r="M128" t="inlineStr">
        <is>
          <t>GAZ-SYSTEM Cieszyn PL&gt;CZ (21Z000000000239K)</t>
        </is>
      </c>
    </row>
    <row r="129">
      <c r="J129" t="inlineStr">
        <is>
          <t>GCP GAZ-SYSTEM/UA TSO PL&gt;UA (21Z000000000508J)</t>
        </is>
      </c>
      <c r="K129" t="n">
        <v>71</v>
      </c>
      <c r="M129" t="inlineStr">
        <is>
          <t>GAZ-SYSTEM GCP GAZ-SYSTEM/UA TSO PL&gt;UA (21Z000000000508J)</t>
        </is>
      </c>
    </row>
    <row r="130">
      <c r="J130" t="inlineStr">
        <is>
          <t>Vyrava PL&gt;SK (21Z6035937275964)</t>
        </is>
      </c>
      <c r="K130" t="n">
        <v>72</v>
      </c>
      <c r="M130" t="inlineStr">
        <is>
          <t>GAZ-SYSTEM Vyrava PL&gt;SK (21Z6035937275964)</t>
        </is>
      </c>
    </row>
    <row r="131">
      <c r="J131" t="inlineStr">
        <is>
          <t>Komotini TAP&gt;ICGB (21Z000000000472E)</t>
        </is>
      </c>
      <c r="K131" t="n">
        <v>73</v>
      </c>
      <c r="M131" t="inlineStr">
        <is>
          <t>ICGB Komotini TAP&gt;ICGB (21Z000000000472E)</t>
        </is>
      </c>
    </row>
    <row r="132">
      <c r="J132" t="inlineStr">
        <is>
          <t>Stara Zagora ICGB&gt;BG (58Z-IP-00034-STZ)</t>
        </is>
      </c>
      <c r="K132" t="n">
        <v>74</v>
      </c>
      <c r="M132" t="inlineStr">
        <is>
          <t>ICGB Stara Zagora ICGB&gt;BG (58Z-IP-00034-STZ)</t>
        </is>
      </c>
    </row>
    <row r="133">
      <c r="J133" t="inlineStr">
        <is>
          <t>Cieszyn PL&gt;CZ (21Z000000000239K)</t>
        </is>
      </c>
      <c r="K133" t="n">
        <v>75</v>
      </c>
      <c r="M133" t="inlineStr">
        <is>
          <t>NET4GAS Cieszyn PL&gt;CZ (21Z000000000239K)</t>
        </is>
      </c>
    </row>
    <row r="134">
      <c r="J134" t="inlineStr">
        <is>
          <t>Lanžhot SK&gt;CZ (21Z000000000061Z)</t>
        </is>
      </c>
      <c r="K134" t="n">
        <v>76</v>
      </c>
      <c r="M134" t="inlineStr">
        <is>
          <t>NET4GAS Lanžhot SK&gt;CZ (21Z000000000061Z)</t>
        </is>
      </c>
    </row>
    <row r="135">
      <c r="J135" t="inlineStr">
        <is>
          <t>VIP Brandov-GASPOOL DE&gt;CZ (21Z0000000004863)</t>
        </is>
      </c>
      <c r="K135" t="n">
        <v>77</v>
      </c>
      <c r="M135" t="inlineStr">
        <is>
          <t>NET4GAS VIP Brandov-GASPOOL DE&gt;CZ (21Z0000000004863)</t>
        </is>
      </c>
    </row>
    <row r="136">
      <c r="J136" t="inlineStr">
        <is>
          <t>Cieszyn CZ&gt;PL (21Z000000000239K)</t>
        </is>
      </c>
      <c r="K136" t="n">
        <v>78</v>
      </c>
      <c r="M136" t="inlineStr">
        <is>
          <t>NET4GAS Cieszyn CZ&gt;PL (21Z000000000239K)</t>
        </is>
      </c>
    </row>
    <row r="137">
      <c r="J137" t="inlineStr">
        <is>
          <t>Lanžhot CZ&gt;SK (21Z000000000061Z)</t>
        </is>
      </c>
      <c r="K137" t="n">
        <v>79</v>
      </c>
      <c r="M137" t="inlineStr">
        <is>
          <t>NET4GAS Lanžhot CZ&gt;SK (21Z000000000061Z)</t>
        </is>
      </c>
    </row>
    <row r="138">
      <c r="J138" t="inlineStr">
        <is>
          <t>VIP Brandov-GASPOOL CZ&gt;DE (21Z0000000004863)</t>
        </is>
      </c>
      <c r="K138" t="n">
        <v>80</v>
      </c>
      <c r="M138" t="inlineStr">
        <is>
          <t>NET4GAS VIP Brandov-GASPOOL CZ&gt;DE (21Z0000000004863)</t>
        </is>
      </c>
    </row>
    <row r="139">
      <c r="J139" t="inlineStr">
        <is>
          <t>VIP Oberkappel AT&gt;DE (21Z000000000490C)</t>
        </is>
      </c>
      <c r="K139" t="n">
        <v>81</v>
      </c>
      <c r="M139" t="inlineStr">
        <is>
          <t>Open Grid Europe VIP Oberkappel AT&gt;DE (21Z000000000490C)</t>
        </is>
      </c>
    </row>
    <row r="140">
      <c r="J140" t="inlineStr">
        <is>
          <t>VIP Oberkappel DE&gt;AT (21Z000000000490C)</t>
        </is>
      </c>
      <c r="K140" t="n">
        <v>82</v>
      </c>
      <c r="M140" t="inlineStr">
        <is>
          <t>Open Grid Europe VIP Oberkappel DE&gt;AT (21Z000000000490C)</t>
        </is>
      </c>
    </row>
    <row r="141">
      <c r="J141" t="inlineStr">
        <is>
          <t>Drávaszerdahely HU&gt;CR (21Z000000000249H)</t>
        </is>
      </c>
      <c r="K141" t="n">
        <v>83</v>
      </c>
      <c r="M141" t="inlineStr">
        <is>
          <t>Plinacro Drávaszerdahely HU&gt;CR (21Z000000000249H)</t>
        </is>
      </c>
    </row>
    <row r="142">
      <c r="J142" t="inlineStr">
        <is>
          <t>Rogatec SI&gt;CR (21Z000000000128T)</t>
        </is>
      </c>
      <c r="K142" t="n">
        <v>84</v>
      </c>
      <c r="M142" t="inlineStr">
        <is>
          <t>Plinacro Rogatec SI&gt;CR (21Z000000000128T)</t>
        </is>
      </c>
    </row>
    <row r="143">
      <c r="J143" t="inlineStr">
        <is>
          <t>Drávaszerdahely CR&gt;HU (21Z000000000249H)</t>
        </is>
      </c>
      <c r="K143" t="n">
        <v>85</v>
      </c>
      <c r="M143" t="inlineStr">
        <is>
          <t>Plinacro Drávaszerdahely CR&gt;HU (21Z000000000249H)</t>
        </is>
      </c>
    </row>
    <row r="144">
      <c r="J144" t="inlineStr">
        <is>
          <t>Rogatec CR&gt;SI (21Z000000000128T)</t>
        </is>
      </c>
      <c r="K144" t="n">
        <v>86</v>
      </c>
      <c r="M144" t="inlineStr">
        <is>
          <t>Plinacro Rogatec CR&gt;SI (21Z000000000128T)</t>
        </is>
      </c>
    </row>
    <row r="145">
      <c r="J145" t="inlineStr">
        <is>
          <t>Gorizia/Šempeter IT&gt;SI (21Z000000000044Z)</t>
        </is>
      </c>
      <c r="K145" t="n">
        <v>87</v>
      </c>
      <c r="M145" t="inlineStr">
        <is>
          <t>Plinovodi Gorizia/Šempeter IT&gt;SI (21Z000000000044Z)</t>
        </is>
      </c>
    </row>
    <row r="146">
      <c r="J146" t="inlineStr">
        <is>
          <t>Murfeld/Ceršak AT&gt;SI (21Z0000000000058)</t>
        </is>
      </c>
      <c r="K146" t="n">
        <v>88</v>
      </c>
      <c r="M146" t="inlineStr">
        <is>
          <t>Plinovodi Murfeld/Ceršak AT&gt;SI (21Z0000000000058)</t>
        </is>
      </c>
    </row>
    <row r="147">
      <c r="J147" t="inlineStr">
        <is>
          <t>Rogatec CR&gt;SI (21Z000000000128T)</t>
        </is>
      </c>
      <c r="K147" t="n">
        <v>89</v>
      </c>
      <c r="M147" t="inlineStr">
        <is>
          <t>Plinovodi Rogatec CR&gt;SI (21Z000000000128T)</t>
        </is>
      </c>
    </row>
    <row r="148">
      <c r="J148" t="inlineStr">
        <is>
          <t>Gorizia/Šempeter SI&gt;IT (21Z000000000044Z)</t>
        </is>
      </c>
      <c r="K148" t="n">
        <v>90</v>
      </c>
      <c r="M148" t="inlineStr">
        <is>
          <t>Plinovodi Gorizia/Šempeter SI&gt;IT (21Z000000000044Z)</t>
        </is>
      </c>
    </row>
    <row r="149">
      <c r="J149" t="inlineStr">
        <is>
          <t>Murfeld/Ceršak SI&gt;AT (21Z0000000000058) - Interruptible</t>
        </is>
      </c>
      <c r="K149" t="n">
        <v>91</v>
      </c>
      <c r="M149" t="inlineStr">
        <is>
          <t>Plinovodi Murfeld/Ceršak SI&gt;AT (21Z0000000000058)</t>
        </is>
      </c>
    </row>
    <row r="150">
      <c r="J150" t="inlineStr">
        <is>
          <t>Rogatec SI&gt;CR (21Z000000000128T)</t>
        </is>
      </c>
      <c r="K150" t="n">
        <v>92</v>
      </c>
      <c r="M150" t="inlineStr">
        <is>
          <t>Plinovodi Rogatec SI&gt;CR (21Z000000000128T)</t>
        </is>
      </c>
    </row>
    <row r="151">
      <c r="J151" t="inlineStr">
        <is>
          <t>Gorizia/Šempeter SI&gt;IT (21Z000000000044Z)</t>
        </is>
      </c>
      <c r="K151" t="n">
        <v>93</v>
      </c>
      <c r="M151" t="inlineStr">
        <is>
          <t>Snam Rete Gas Gorizia/Šempeter SI&gt;IT (21Z000000000044Z)</t>
        </is>
      </c>
    </row>
    <row r="152">
      <c r="J152" t="inlineStr">
        <is>
          <t>Mazara del Vallo LY&gt;IT (21Z000000000080V)</t>
        </is>
      </c>
      <c r="K152" t="n">
        <v>94</v>
      </c>
      <c r="M152" t="inlineStr">
        <is>
          <t>Snam Rete Gas Mazara del Vallo LY&gt;IT (21Z000000000080V)</t>
        </is>
      </c>
    </row>
    <row r="153">
      <c r="J153" t="inlineStr">
        <is>
          <t>Tarvisio/Arnoldstein AT&gt;IT (21Z000000000004A)</t>
        </is>
      </c>
      <c r="K153" t="n">
        <v>95</v>
      </c>
      <c r="M153" t="inlineStr">
        <is>
          <t>Snam Rete Gas Tarvisio/Arnoldstein AT&gt;IT (21Z000000000004A)</t>
        </is>
      </c>
    </row>
    <row r="154">
      <c r="J154" t="inlineStr">
        <is>
          <t>Gorizia/Šempeter IT&gt;SI (21Z000000000044Z)</t>
        </is>
      </c>
      <c r="K154" t="n">
        <v>96</v>
      </c>
      <c r="M154" t="inlineStr">
        <is>
          <t>Snam Rete Gas Gorizia/Šempeter IT&gt;SI (21Z000000000044Z)</t>
        </is>
      </c>
    </row>
    <row r="155">
      <c r="J155" t="inlineStr">
        <is>
          <t>Tarvisio/Arnoldstein IT&gt;AT (21Z000000000004A)</t>
        </is>
      </c>
      <c r="K155" t="n">
        <v>97</v>
      </c>
      <c r="M155" t="inlineStr">
        <is>
          <t>Snam Rete Gas Tarvisio/Arnoldstein IT&gt;AT (21Z000000000004A)</t>
        </is>
      </c>
    </row>
    <row r="156">
      <c r="J156" t="inlineStr">
        <is>
          <t>Kipoi TR&gt;TAP (21Z0000000004758)</t>
        </is>
      </c>
      <c r="K156" t="n">
        <v>98</v>
      </c>
      <c r="M156" t="inlineStr">
        <is>
          <t>Trans Adriatic Pipeline Kipoi TR&gt;TAP (21Z0000000004758)</t>
        </is>
      </c>
    </row>
    <row r="157">
      <c r="J157" t="inlineStr">
        <is>
          <t>Komotini TAP&gt;ICGB (21Z000000000472E)</t>
        </is>
      </c>
      <c r="K157" t="n">
        <v>99</v>
      </c>
      <c r="M157" t="inlineStr">
        <is>
          <t>Trans Adriatic Pipeline Komotini TAP&gt;ICGB (21Z000000000472E)</t>
        </is>
      </c>
    </row>
    <row r="158">
      <c r="J158" t="inlineStr">
        <is>
          <t>Melendugno TAP&gt;IT (21Z000000000474A)</t>
        </is>
      </c>
      <c r="K158" t="n">
        <v>100</v>
      </c>
      <c r="M158" t="inlineStr">
        <is>
          <t>Trans Adriatic Pipeline Melendugno TAP&gt;IT (21Z000000000474A)</t>
        </is>
      </c>
    </row>
    <row r="159">
      <c r="J159" t="inlineStr">
        <is>
          <t>Nea Mesimvria TAP&gt;GR (21Z000000000473C)</t>
        </is>
      </c>
      <c r="K159" t="n">
        <v>101</v>
      </c>
      <c r="M159" t="inlineStr">
        <is>
          <t>Trans Adriatic Pipeline Nea Mesimvria TAP&gt;GR (21Z000000000473C)</t>
        </is>
      </c>
    </row>
    <row r="160">
      <c r="J160" t="inlineStr">
        <is>
          <t>Tarvisio/Arnoldstein IT&gt;AT (21Z000000000004A)</t>
        </is>
      </c>
      <c r="K160" t="n">
        <v>102</v>
      </c>
      <c r="M160" t="inlineStr">
        <is>
          <t>Trans Austria Gasleitung Tarvisio/Arnoldstein IT&gt;AT (21Z000000000004A)</t>
        </is>
      </c>
    </row>
    <row r="161">
      <c r="J161" t="inlineStr">
        <is>
          <t>Tarvisio/Arnoldstein AT&gt;IT (21Z000000000004A)</t>
        </is>
      </c>
      <c r="K161" t="n">
        <v>103</v>
      </c>
      <c r="M161" t="inlineStr">
        <is>
          <t>Trans Austria Gasleitung Tarvisio/Arnoldstein AT&gt;IT (21Z000000000004A)</t>
        </is>
      </c>
    </row>
    <row r="162">
      <c r="J162" t="inlineStr">
        <is>
          <t>Csanádpalota HU&gt;RO (21Z000000000236Q)</t>
        </is>
      </c>
      <c r="K162" t="n">
        <v>104</v>
      </c>
      <c r="M162" t="inlineStr">
        <is>
          <t>Transgaz Csanádpalota HU&gt;RO (21Z000000000236Q)</t>
        </is>
      </c>
    </row>
    <row r="163">
      <c r="J163" t="inlineStr">
        <is>
          <t>Negru Voda 1/Kardam BG&gt;RO (21Z000000000159I)</t>
        </is>
      </c>
      <c r="K163" t="n">
        <v>105</v>
      </c>
      <c r="M163" t="inlineStr">
        <is>
          <t>Transgaz Negru Voda 1/Kardam BG&gt;RO (21Z000000000159I)</t>
        </is>
      </c>
    </row>
    <row r="164">
      <c r="J164" t="inlineStr">
        <is>
          <t>Ruse/Giurgiu BG&gt;RO (21Z0000000002798)</t>
        </is>
      </c>
      <c r="K164" t="n">
        <v>106</v>
      </c>
      <c r="M164" t="inlineStr">
        <is>
          <t>Transgaz Ruse/Giurgiu BG&gt;RO (21Z0000000002798)</t>
        </is>
      </c>
    </row>
    <row r="165">
      <c r="J165" t="inlineStr">
        <is>
          <t>Csanádpalota RO&gt;HU (21Z000000000236Q)</t>
        </is>
      </c>
      <c r="K165" t="n">
        <v>107</v>
      </c>
      <c r="M165" t="inlineStr">
        <is>
          <t>Transgaz Csanádpalota RO&gt;HU (21Z000000000236Q)</t>
        </is>
      </c>
    </row>
    <row r="166">
      <c r="J166" t="inlineStr">
        <is>
          <t>Negru Voda 1/Kardam RO&gt;BG (21Z000000000159I)</t>
        </is>
      </c>
      <c r="K166" t="n">
        <v>108</v>
      </c>
      <c r="M166" t="inlineStr">
        <is>
          <t>Transgaz Negru Voda 1/Kardam RO&gt;BG (21Z000000000159I)</t>
        </is>
      </c>
    </row>
    <row r="167">
      <c r="J167" t="inlineStr">
        <is>
          <t>Ruse/Giurgiu RO&gt;BG (21Z0000000002798)</t>
        </is>
      </c>
      <c r="K167" t="n">
        <v>109</v>
      </c>
      <c r="M167" t="inlineStr">
        <is>
          <t>Transgaz Ruse/Giurgiu RO&gt;BG (21Z0000000002798)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TSO code</t>
        </is>
      </c>
      <c r="C1" s="3" t="inlineStr">
        <is>
          <t>TSO</t>
        </is>
      </c>
      <c r="D1" s="3" t="inlineStr">
        <is>
          <t>Direction</t>
        </is>
      </c>
      <c r="E1" s="3" t="inlineStr">
        <is>
          <t>EIC</t>
        </is>
      </c>
      <c r="F1" s="3" t="inlineStr">
        <is>
          <t>Name</t>
        </is>
      </c>
      <c r="G1" s="3" t="inlineStr">
        <is>
          <t>Capacity type</t>
        </is>
      </c>
      <c r="H1" s="3" t="inlineStr">
        <is>
          <t>Currency</t>
        </is>
      </c>
      <c r="I1" s="3" t="inlineStr">
        <is>
          <t>Unit</t>
        </is>
      </c>
      <c r="J1" s="3" t="inlineStr">
        <is>
          <t>First Tariffs row</t>
        </is>
      </c>
      <c r="K1" s="3" t="inlineStr">
        <is>
          <t>Stretches</t>
        </is>
      </c>
      <c r="L1" s="3" t="inlineStr">
        <is>
          <t>Earliest gas year</t>
        </is>
      </c>
    </row>
    <row r="2">
      <c r="A2" t="n">
        <v>1</v>
      </c>
      <c r="B2" t="inlineStr">
        <is>
          <t>AMBERGR</t>
        </is>
      </c>
      <c r="C2" t="inlineStr">
        <is>
          <t>Amber Grid</t>
        </is>
      </c>
      <c r="D2" t="inlineStr">
        <is>
          <t>Exit</t>
        </is>
      </c>
      <c r="E2" t="inlineStr">
        <is>
          <t>21Z180960164W65R</t>
        </is>
      </c>
      <c r="F2" t="inlineStr">
        <is>
          <t>Santaka (LT&gt;PL)</t>
        </is>
      </c>
      <c r="G2" t="inlineStr">
        <is>
          <t>Firm</t>
        </is>
      </c>
      <c r="H2" t="inlineStr">
        <is>
          <t>EUR</t>
        </is>
      </c>
      <c r="I2" t="inlineStr">
        <is>
          <t>kWh/h</t>
        </is>
      </c>
      <c r="J2" t="n">
        <v>2</v>
      </c>
      <c r="K2" t="n">
        <v>3</v>
      </c>
      <c r="L2" t="n">
        <v>2024</v>
      </c>
    </row>
    <row r="3">
      <c r="A3" t="n">
        <v>2</v>
      </c>
      <c r="B3" t="inlineStr">
        <is>
          <t>BGTRGAZ</t>
        </is>
      </c>
      <c r="C3" t="inlineStr">
        <is>
          <t>Bulgartransgaz</t>
        </is>
      </c>
      <c r="D3" t="inlineStr">
        <is>
          <t>Entry</t>
        </is>
      </c>
      <c r="E3" t="inlineStr">
        <is>
          <t>58Z-000000007-KZ</t>
        </is>
      </c>
      <c r="F3" t="inlineStr">
        <is>
          <t>Kireevo/Zaychar (RS&gt;BG)</t>
        </is>
      </c>
      <c r="G3" t="inlineStr">
        <is>
          <t>Firm</t>
        </is>
      </c>
      <c r="H3" t="inlineStr">
        <is>
          <t>EUR</t>
        </is>
      </c>
      <c r="I3" t="inlineStr">
        <is>
          <t>kWh/d</t>
        </is>
      </c>
      <c r="J3" t="n">
        <v>5</v>
      </c>
      <c r="K3" t="n">
        <v>2</v>
      </c>
      <c r="L3" t="n">
        <v>2025</v>
      </c>
    </row>
    <row r="4">
      <c r="A4" t="n">
        <v>3</v>
      </c>
      <c r="B4" t="inlineStr">
        <is>
          <t>BGTRGAZ</t>
        </is>
      </c>
      <c r="C4" t="inlineStr">
        <is>
          <t>Bulgartransgaz</t>
        </is>
      </c>
      <c r="D4" t="inlineStr">
        <is>
          <t>Entry</t>
        </is>
      </c>
      <c r="E4" t="inlineStr">
        <is>
          <t>21Z000000000020C</t>
        </is>
      </c>
      <c r="F4" t="inlineStr">
        <is>
          <t>Kulata/Sidirokastron (GR&gt;BG)</t>
        </is>
      </c>
      <c r="G4" t="inlineStr">
        <is>
          <t>Firm</t>
        </is>
      </c>
      <c r="H4" t="inlineStr">
        <is>
          <t>EUR</t>
        </is>
      </c>
      <c r="I4" t="inlineStr">
        <is>
          <t>kWh/d</t>
        </is>
      </c>
      <c r="J4" t="n">
        <v>7</v>
      </c>
      <c r="K4" t="n">
        <v>2</v>
      </c>
      <c r="L4" t="n">
        <v>2025</v>
      </c>
    </row>
    <row r="5">
      <c r="A5" t="n">
        <v>4</v>
      </c>
      <c r="B5" t="inlineStr">
        <is>
          <t>BGTRGAZ</t>
        </is>
      </c>
      <c r="C5" t="inlineStr">
        <is>
          <t>Bulgartransgaz</t>
        </is>
      </c>
      <c r="D5" t="inlineStr">
        <is>
          <t>Entry</t>
        </is>
      </c>
      <c r="E5" t="inlineStr">
        <is>
          <t>21Z000000000159I</t>
        </is>
      </c>
      <c r="F5" t="inlineStr">
        <is>
          <t>Negru Voda 1/Kardam (RO&gt;BG)</t>
        </is>
      </c>
      <c r="G5" t="inlineStr">
        <is>
          <t>Firm</t>
        </is>
      </c>
      <c r="H5" t="inlineStr">
        <is>
          <t>EUR</t>
        </is>
      </c>
      <c r="I5" t="inlineStr">
        <is>
          <t>kWh/d</t>
        </is>
      </c>
      <c r="J5" t="n">
        <v>9</v>
      </c>
      <c r="K5" t="n">
        <v>2</v>
      </c>
      <c r="L5" t="n">
        <v>2025</v>
      </c>
    </row>
    <row r="6">
      <c r="A6" t="n">
        <v>5</v>
      </c>
      <c r="B6" t="inlineStr">
        <is>
          <t>BGTRGAZ</t>
        </is>
      </c>
      <c r="C6" t="inlineStr">
        <is>
          <t>Bulgartransgaz</t>
        </is>
      </c>
      <c r="D6" t="inlineStr">
        <is>
          <t>Entry</t>
        </is>
      </c>
      <c r="E6" t="inlineStr">
        <is>
          <t>21Z0000000002798</t>
        </is>
      </c>
      <c r="F6" t="inlineStr">
        <is>
          <t>Ruse/Giurgiu (RO&gt;BG)</t>
        </is>
      </c>
      <c r="G6" t="inlineStr">
        <is>
          <t>Firm</t>
        </is>
      </c>
      <c r="H6" t="inlineStr">
        <is>
          <t>EUR</t>
        </is>
      </c>
      <c r="I6" t="inlineStr">
        <is>
          <t>kWh/d</t>
        </is>
      </c>
      <c r="J6" t="n">
        <v>11</v>
      </c>
      <c r="K6" t="n">
        <v>2</v>
      </c>
      <c r="L6" t="n">
        <v>2025</v>
      </c>
    </row>
    <row r="7">
      <c r="A7" t="n">
        <v>6</v>
      </c>
      <c r="B7" t="inlineStr">
        <is>
          <t>BGTRGAZ</t>
        </is>
      </c>
      <c r="C7" t="inlineStr">
        <is>
          <t>Bulgartransgaz</t>
        </is>
      </c>
      <c r="D7" t="inlineStr">
        <is>
          <t>Entry</t>
        </is>
      </c>
      <c r="E7" t="inlineStr">
        <is>
          <t>58Z-IP-00034-STZ</t>
        </is>
      </c>
      <c r="F7" t="inlineStr">
        <is>
          <t>Stara Zagora (ICGB&gt;BG)</t>
        </is>
      </c>
      <c r="G7" t="inlineStr">
        <is>
          <t>Firm</t>
        </is>
      </c>
      <c r="H7" t="inlineStr">
        <is>
          <t>EUR</t>
        </is>
      </c>
      <c r="I7" t="inlineStr">
        <is>
          <t>kWh/d</t>
        </is>
      </c>
      <c r="J7" t="n">
        <v>13</v>
      </c>
      <c r="K7" t="n">
        <v>2</v>
      </c>
      <c r="L7" t="n">
        <v>2025</v>
      </c>
    </row>
    <row r="8">
      <c r="A8" t="n">
        <v>7</v>
      </c>
      <c r="B8" t="inlineStr">
        <is>
          <t>BGTRGAZ</t>
        </is>
      </c>
      <c r="C8" t="inlineStr">
        <is>
          <t>Bulgartransgaz</t>
        </is>
      </c>
      <c r="D8" t="inlineStr">
        <is>
          <t>Entry</t>
        </is>
      </c>
      <c r="E8" t="inlineStr">
        <is>
          <t>21Z000000000157M</t>
        </is>
      </c>
      <c r="F8" t="inlineStr">
        <is>
          <t>Strandzha 1/Malkoclar (TR&gt;BG)</t>
        </is>
      </c>
      <c r="G8" t="inlineStr">
        <is>
          <t>Firm</t>
        </is>
      </c>
      <c r="H8" t="inlineStr">
        <is>
          <t>EUR</t>
        </is>
      </c>
      <c r="I8" t="inlineStr">
        <is>
          <t>kWh/d</t>
        </is>
      </c>
      <c r="J8" t="n">
        <v>15</v>
      </c>
      <c r="K8" t="n">
        <v>2</v>
      </c>
      <c r="L8" t="n">
        <v>2025</v>
      </c>
    </row>
    <row r="9">
      <c r="A9" t="n">
        <v>8</v>
      </c>
      <c r="B9" t="inlineStr">
        <is>
          <t>BGTRGAZ</t>
        </is>
      </c>
      <c r="C9" t="inlineStr">
        <is>
          <t>Bulgartransgaz</t>
        </is>
      </c>
      <c r="D9" t="inlineStr">
        <is>
          <t>Entry</t>
        </is>
      </c>
      <c r="E9" t="inlineStr">
        <is>
          <t>58Z-00000015-S2M</t>
        </is>
      </c>
      <c r="F9" t="inlineStr">
        <is>
          <t>Strandzha 2/Malkoclar (TR&gt;BG)</t>
        </is>
      </c>
      <c r="G9" t="inlineStr">
        <is>
          <t>Firm</t>
        </is>
      </c>
      <c r="H9" t="inlineStr">
        <is>
          <t>EUR</t>
        </is>
      </c>
      <c r="I9" t="inlineStr">
        <is>
          <t>kWh/d</t>
        </is>
      </c>
      <c r="J9" t="n">
        <v>17</v>
      </c>
      <c r="K9" t="n">
        <v>2</v>
      </c>
      <c r="L9" t="n">
        <v>2025</v>
      </c>
    </row>
    <row r="10">
      <c r="A10" t="n">
        <v>9</v>
      </c>
      <c r="B10" t="inlineStr">
        <is>
          <t>BGTRGAZ</t>
        </is>
      </c>
      <c r="C10" t="inlineStr">
        <is>
          <t>Bulgartransgaz</t>
        </is>
      </c>
      <c r="D10" t="inlineStr">
        <is>
          <t>Exit</t>
        </is>
      </c>
      <c r="E10" t="inlineStr">
        <is>
          <t>58Z-000000007-KZ</t>
        </is>
      </c>
      <c r="F10" t="inlineStr">
        <is>
          <t>Kireevo/Zaychar (BG&gt;RS)</t>
        </is>
      </c>
      <c r="G10" t="inlineStr">
        <is>
          <t>Firm</t>
        </is>
      </c>
      <c r="H10" t="inlineStr">
        <is>
          <t>EUR</t>
        </is>
      </c>
      <c r="I10" t="inlineStr">
        <is>
          <t>kWh/d</t>
        </is>
      </c>
      <c r="J10" t="n">
        <v>19</v>
      </c>
      <c r="K10" t="n">
        <v>2</v>
      </c>
      <c r="L10" t="n">
        <v>2025</v>
      </c>
    </row>
    <row r="11">
      <c r="A11" t="n">
        <v>10</v>
      </c>
      <c r="B11" t="inlineStr">
        <is>
          <t>BGTRGAZ</t>
        </is>
      </c>
      <c r="C11" t="inlineStr">
        <is>
          <t>Bulgartransgaz</t>
        </is>
      </c>
      <c r="D11" t="inlineStr">
        <is>
          <t>Exit</t>
        </is>
      </c>
      <c r="E11" t="inlineStr">
        <is>
          <t>21Z000000000020C</t>
        </is>
      </c>
      <c r="F11" t="inlineStr">
        <is>
          <t>Kulata/Sidirokastron (BG&gt;GR)</t>
        </is>
      </c>
      <c r="G11" t="inlineStr">
        <is>
          <t>Firm</t>
        </is>
      </c>
      <c r="H11" t="inlineStr">
        <is>
          <t>EUR</t>
        </is>
      </c>
      <c r="I11" t="inlineStr">
        <is>
          <t>kWh/d</t>
        </is>
      </c>
      <c r="J11" t="n">
        <v>21</v>
      </c>
      <c r="K11" t="n">
        <v>2</v>
      </c>
      <c r="L11" t="n">
        <v>2025</v>
      </c>
    </row>
    <row r="12">
      <c r="A12" t="n">
        <v>11</v>
      </c>
      <c r="B12" t="inlineStr">
        <is>
          <t>BGTRGAZ</t>
        </is>
      </c>
      <c r="C12" t="inlineStr">
        <is>
          <t>Bulgartransgaz</t>
        </is>
      </c>
      <c r="D12" t="inlineStr">
        <is>
          <t>Exit</t>
        </is>
      </c>
      <c r="E12" t="inlineStr">
        <is>
          <t>21Z000000000137S</t>
        </is>
      </c>
      <c r="F12" t="inlineStr">
        <is>
          <t>Kyustendil/Zidilovo (BG&gt;MK)</t>
        </is>
      </c>
      <c r="G12" t="inlineStr">
        <is>
          <t>Firm</t>
        </is>
      </c>
      <c r="H12" t="inlineStr">
        <is>
          <t>EUR</t>
        </is>
      </c>
      <c r="I12" t="inlineStr">
        <is>
          <t>kWh/d</t>
        </is>
      </c>
      <c r="J12" t="n">
        <v>23</v>
      </c>
      <c r="K12" t="n">
        <v>2</v>
      </c>
      <c r="L12" t="n">
        <v>2025</v>
      </c>
    </row>
    <row r="13">
      <c r="A13" t="n">
        <v>12</v>
      </c>
      <c r="B13" t="inlineStr">
        <is>
          <t>BGTRGAZ</t>
        </is>
      </c>
      <c r="C13" t="inlineStr">
        <is>
          <t>Bulgartransgaz</t>
        </is>
      </c>
      <c r="D13" t="inlineStr">
        <is>
          <t>Exit</t>
        </is>
      </c>
      <c r="E13" t="inlineStr">
        <is>
          <t>21Z000000000159I</t>
        </is>
      </c>
      <c r="F13" t="inlineStr">
        <is>
          <t>Negru Voda 1/Kardam (BG&gt;RO)</t>
        </is>
      </c>
      <c r="G13" t="inlineStr">
        <is>
          <t>Firm</t>
        </is>
      </c>
      <c r="H13" t="inlineStr">
        <is>
          <t>EUR</t>
        </is>
      </c>
      <c r="I13" t="inlineStr">
        <is>
          <t>kWh/d</t>
        </is>
      </c>
      <c r="J13" t="n">
        <v>25</v>
      </c>
      <c r="K13" t="n">
        <v>2</v>
      </c>
      <c r="L13" t="n">
        <v>2025</v>
      </c>
    </row>
    <row r="14">
      <c r="A14" t="n">
        <v>13</v>
      </c>
      <c r="B14" t="inlineStr">
        <is>
          <t>BGTRGAZ</t>
        </is>
      </c>
      <c r="C14" t="inlineStr">
        <is>
          <t>Bulgartransgaz</t>
        </is>
      </c>
      <c r="D14" t="inlineStr">
        <is>
          <t>Exit</t>
        </is>
      </c>
      <c r="E14" t="inlineStr">
        <is>
          <t>21Z0000000002798</t>
        </is>
      </c>
      <c r="F14" t="inlineStr">
        <is>
          <t>Ruse/Giurgiu (BG&gt;RO)</t>
        </is>
      </c>
      <c r="G14" t="inlineStr">
        <is>
          <t>Firm</t>
        </is>
      </c>
      <c r="H14" t="inlineStr">
        <is>
          <t>EUR</t>
        </is>
      </c>
      <c r="I14" t="inlineStr">
        <is>
          <t>kWh/d</t>
        </is>
      </c>
      <c r="J14" t="n">
        <v>27</v>
      </c>
      <c r="K14" t="n">
        <v>2</v>
      </c>
      <c r="L14" t="n">
        <v>2025</v>
      </c>
    </row>
    <row r="15">
      <c r="A15" t="n">
        <v>14</v>
      </c>
      <c r="B15" t="inlineStr">
        <is>
          <t>BGTRGAZ</t>
        </is>
      </c>
      <c r="C15" t="inlineStr">
        <is>
          <t>Bulgartransgaz</t>
        </is>
      </c>
      <c r="D15" t="inlineStr">
        <is>
          <t>Exit</t>
        </is>
      </c>
      <c r="E15" t="inlineStr">
        <is>
          <t>21Z000000000157M</t>
        </is>
      </c>
      <c r="F15" t="inlineStr">
        <is>
          <t>Strandzha 1/Malkoclar (BG&gt;TR)</t>
        </is>
      </c>
      <c r="G15" t="inlineStr">
        <is>
          <t>Firm</t>
        </is>
      </c>
      <c r="H15" t="inlineStr">
        <is>
          <t>EUR</t>
        </is>
      </c>
      <c r="I15" t="inlineStr">
        <is>
          <t>kWh/d</t>
        </is>
      </c>
      <c r="J15" t="n">
        <v>29</v>
      </c>
      <c r="K15" t="n">
        <v>2</v>
      </c>
      <c r="L15" t="n">
        <v>2025</v>
      </c>
    </row>
    <row r="16">
      <c r="A16" t="n">
        <v>15</v>
      </c>
      <c r="B16" t="inlineStr">
        <is>
          <t>DESFA</t>
        </is>
      </c>
      <c r="C16" t="inlineStr">
        <is>
          <t>DESFA</t>
        </is>
      </c>
      <c r="D16" t="inlineStr">
        <is>
          <t>Entry</t>
        </is>
      </c>
      <c r="E16" t="inlineStr">
        <is>
          <t>21Z000000000233W</t>
        </is>
      </c>
      <c r="F16" t="inlineStr">
        <is>
          <t>Kipi (TR&gt;GR)</t>
        </is>
      </c>
      <c r="G16" t="inlineStr">
        <is>
          <t>Firm</t>
        </is>
      </c>
      <c r="H16" t="inlineStr">
        <is>
          <t>EUR</t>
        </is>
      </c>
      <c r="I16" t="inlineStr">
        <is>
          <t>kWh/h</t>
        </is>
      </c>
      <c r="J16" t="n">
        <v>31</v>
      </c>
      <c r="K16" t="n">
        <v>2</v>
      </c>
      <c r="L16" t="n">
        <v>2025</v>
      </c>
    </row>
    <row r="17">
      <c r="A17" t="n">
        <v>16</v>
      </c>
      <c r="B17" t="inlineStr">
        <is>
          <t>DESFA</t>
        </is>
      </c>
      <c r="C17" t="inlineStr">
        <is>
          <t>DESFA</t>
        </is>
      </c>
      <c r="D17" t="inlineStr">
        <is>
          <t>Entry</t>
        </is>
      </c>
      <c r="E17" t="inlineStr">
        <is>
          <t>21Z000000000020C</t>
        </is>
      </c>
      <c r="F17" t="inlineStr">
        <is>
          <t>Kulata/Sidirokastron (BG&gt;GR)</t>
        </is>
      </c>
      <c r="G17" t="inlineStr">
        <is>
          <t>Firm</t>
        </is>
      </c>
      <c r="H17" t="inlineStr">
        <is>
          <t>EUR</t>
        </is>
      </c>
      <c r="I17" t="inlineStr">
        <is>
          <t>kWh/h</t>
        </is>
      </c>
      <c r="J17" t="n">
        <v>33</v>
      </c>
      <c r="K17" t="n">
        <v>2</v>
      </c>
      <c r="L17" t="n">
        <v>2025</v>
      </c>
    </row>
    <row r="18">
      <c r="A18" t="n">
        <v>17</v>
      </c>
      <c r="B18" t="inlineStr">
        <is>
          <t>DESFA</t>
        </is>
      </c>
      <c r="C18" t="inlineStr">
        <is>
          <t>DESFA</t>
        </is>
      </c>
      <c r="D18" t="inlineStr">
        <is>
          <t>Entry</t>
        </is>
      </c>
      <c r="E18" t="inlineStr">
        <is>
          <t>21Z000000000473C</t>
        </is>
      </c>
      <c r="F18" t="inlineStr">
        <is>
          <t>Nea Mesimvria (TAP&gt;GR)</t>
        </is>
      </c>
      <c r="G18" t="inlineStr">
        <is>
          <t>Firm</t>
        </is>
      </c>
      <c r="H18" t="inlineStr">
        <is>
          <t>EUR</t>
        </is>
      </c>
      <c r="I18" t="inlineStr">
        <is>
          <t>kWh/h</t>
        </is>
      </c>
      <c r="J18" t="n">
        <v>35</v>
      </c>
      <c r="K18" t="n">
        <v>2</v>
      </c>
      <c r="L18" t="n">
        <v>2025</v>
      </c>
    </row>
    <row r="19">
      <c r="A19" t="n">
        <v>18</v>
      </c>
      <c r="B19" t="inlineStr">
        <is>
          <t>DESFA</t>
        </is>
      </c>
      <c r="C19" t="inlineStr">
        <is>
          <t>DESFA</t>
        </is>
      </c>
      <c r="D19" t="inlineStr">
        <is>
          <t>Exit</t>
        </is>
      </c>
      <c r="E19" t="inlineStr">
        <is>
          <t>21Z0000000005398</t>
        </is>
      </c>
      <c r="F19" t="inlineStr">
        <is>
          <t>Komotini (DESFA&gt;IGB)</t>
        </is>
      </c>
      <c r="G19" t="inlineStr">
        <is>
          <t>Firm</t>
        </is>
      </c>
      <c r="H19" t="inlineStr">
        <is>
          <t>EUR</t>
        </is>
      </c>
      <c r="I19" t="inlineStr">
        <is>
          <t>kWh/h</t>
        </is>
      </c>
      <c r="J19" t="n">
        <v>37</v>
      </c>
      <c r="K19" t="n">
        <v>2</v>
      </c>
      <c r="L19" t="n">
        <v>2025</v>
      </c>
    </row>
    <row r="20">
      <c r="A20" t="n">
        <v>19</v>
      </c>
      <c r="B20" t="inlineStr">
        <is>
          <t>DESFA</t>
        </is>
      </c>
      <c r="C20" t="inlineStr">
        <is>
          <t>DESFA</t>
        </is>
      </c>
      <c r="D20" t="inlineStr">
        <is>
          <t>Exit</t>
        </is>
      </c>
      <c r="E20" t="inlineStr">
        <is>
          <t>21Z000000000020C</t>
        </is>
      </c>
      <c r="F20" t="inlineStr">
        <is>
          <t>Kulata/Sidirokastron (GR&gt;BG)</t>
        </is>
      </c>
      <c r="G20" t="inlineStr">
        <is>
          <t>Firm</t>
        </is>
      </c>
      <c r="H20" t="inlineStr">
        <is>
          <t>EUR</t>
        </is>
      </c>
      <c r="I20" t="inlineStr">
        <is>
          <t>kWh/h</t>
        </is>
      </c>
      <c r="J20" t="n">
        <v>39</v>
      </c>
      <c r="K20" t="n">
        <v>2</v>
      </c>
      <c r="L20" t="n">
        <v>2025</v>
      </c>
    </row>
    <row r="21">
      <c r="A21" t="n">
        <v>20</v>
      </c>
      <c r="B21" t="inlineStr">
        <is>
          <t>DESFA</t>
        </is>
      </c>
      <c r="C21" t="inlineStr">
        <is>
          <t>DESFA</t>
        </is>
      </c>
      <c r="D21" t="inlineStr">
        <is>
          <t>Exit</t>
        </is>
      </c>
      <c r="E21" t="inlineStr">
        <is>
          <t>21Z000000000473C</t>
        </is>
      </c>
      <c r="F21" t="inlineStr">
        <is>
          <t>Nea Mesimvria (GR&gt;TAP)</t>
        </is>
      </c>
      <c r="G21" t="inlineStr">
        <is>
          <t>Firm</t>
        </is>
      </c>
      <c r="H21" t="inlineStr">
        <is>
          <t>EUR</t>
        </is>
      </c>
      <c r="I21" t="inlineStr">
        <is>
          <t>kWh/h</t>
        </is>
      </c>
      <c r="J21" t="n">
        <v>41</v>
      </c>
      <c r="K21" t="n">
        <v>2</v>
      </c>
      <c r="L21" t="n">
        <v>2025</v>
      </c>
    </row>
    <row r="22">
      <c r="A22" t="n">
        <v>21</v>
      </c>
      <c r="B22" t="inlineStr">
        <is>
          <t>EUSTR</t>
        </is>
      </c>
      <c r="C22" t="inlineStr">
        <is>
          <t>Eustream</t>
        </is>
      </c>
      <c r="D22" t="inlineStr">
        <is>
          <t>Entry</t>
        </is>
      </c>
      <c r="E22" t="inlineStr">
        <is>
          <t>21Z000000000358C</t>
        </is>
      </c>
      <c r="F22" t="inlineStr">
        <is>
          <t>Balassagyarmat (HU&gt;SK)</t>
        </is>
      </c>
      <c r="G22" t="inlineStr">
        <is>
          <t>Firm</t>
        </is>
      </c>
      <c r="H22" t="inlineStr">
        <is>
          <t>EUR</t>
        </is>
      </c>
      <c r="I22" t="inlineStr">
        <is>
          <t>kWh/h</t>
        </is>
      </c>
      <c r="J22" t="n">
        <v>43</v>
      </c>
      <c r="K22" t="n">
        <v>6</v>
      </c>
      <c r="L22" t="n">
        <v>2021</v>
      </c>
    </row>
    <row r="23">
      <c r="A23" t="n">
        <v>22</v>
      </c>
      <c r="B23" t="inlineStr">
        <is>
          <t>EUSTR</t>
        </is>
      </c>
      <c r="C23" t="inlineStr">
        <is>
          <t>Eustream</t>
        </is>
      </c>
      <c r="D23" t="inlineStr">
        <is>
          <t>Entry</t>
        </is>
      </c>
      <c r="E23" t="inlineStr">
        <is>
          <t>21Y---A001A023-Y</t>
        </is>
      </c>
      <c r="F23" t="inlineStr">
        <is>
          <t>Baumgarten (AT&gt;SK)</t>
        </is>
      </c>
      <c r="G23" t="inlineStr">
        <is>
          <t>Firm</t>
        </is>
      </c>
      <c r="H23" t="inlineStr">
        <is>
          <t>EUR</t>
        </is>
      </c>
      <c r="I23" t="inlineStr">
        <is>
          <t>kWh/h</t>
        </is>
      </c>
      <c r="J23" t="n">
        <v>49</v>
      </c>
      <c r="K23" t="n">
        <v>6</v>
      </c>
      <c r="L23" t="n">
        <v>2021</v>
      </c>
    </row>
    <row r="24">
      <c r="A24" t="n">
        <v>23</v>
      </c>
      <c r="B24" t="inlineStr">
        <is>
          <t>EUSTR</t>
        </is>
      </c>
      <c r="C24" t="inlineStr">
        <is>
          <t>Eustream</t>
        </is>
      </c>
      <c r="D24" t="inlineStr">
        <is>
          <t>Entry</t>
        </is>
      </c>
      <c r="E24" t="inlineStr">
        <is>
          <t>21Z000000000061Z</t>
        </is>
      </c>
      <c r="F24" t="inlineStr">
        <is>
          <t>Lanžhot (CZ&gt;SK)</t>
        </is>
      </c>
      <c r="G24" t="inlineStr">
        <is>
          <t>Firm</t>
        </is>
      </c>
      <c r="H24" t="inlineStr">
        <is>
          <t>EUR</t>
        </is>
      </c>
      <c r="I24" t="inlineStr">
        <is>
          <t>kWh/h</t>
        </is>
      </c>
      <c r="J24" t="n">
        <v>55</v>
      </c>
      <c r="K24" t="n">
        <v>6</v>
      </c>
      <c r="L24" t="n">
        <v>2021</v>
      </c>
    </row>
    <row r="25">
      <c r="A25" t="n">
        <v>24</v>
      </c>
      <c r="B25" t="inlineStr">
        <is>
          <t>EUSTR</t>
        </is>
      </c>
      <c r="C25" t="inlineStr">
        <is>
          <t>Eustream</t>
        </is>
      </c>
      <c r="D25" t="inlineStr">
        <is>
          <t>Entry</t>
        </is>
      </c>
      <c r="E25" t="inlineStr">
        <is>
          <t>21Z000000000085L</t>
        </is>
      </c>
      <c r="F25" t="inlineStr">
        <is>
          <t>Uzhgorod/Velké Kapušany (UA&gt;SK)</t>
        </is>
      </c>
      <c r="G25" t="inlineStr">
        <is>
          <t>Firm</t>
        </is>
      </c>
      <c r="H25" t="inlineStr">
        <is>
          <t>EUR</t>
        </is>
      </c>
      <c r="I25" t="inlineStr">
        <is>
          <t>kWh/h</t>
        </is>
      </c>
      <c r="J25" t="n">
        <v>61</v>
      </c>
      <c r="K25" t="n">
        <v>6</v>
      </c>
      <c r="L25" t="n">
        <v>2021</v>
      </c>
    </row>
    <row r="26">
      <c r="A26" t="n">
        <v>25</v>
      </c>
      <c r="B26" t="inlineStr">
        <is>
          <t>EUSTR</t>
        </is>
      </c>
      <c r="C26" t="inlineStr">
        <is>
          <t>Eustream</t>
        </is>
      </c>
      <c r="D26" t="inlineStr">
        <is>
          <t>Entry</t>
        </is>
      </c>
      <c r="E26" t="inlineStr">
        <is>
          <t>21Z6035937275964</t>
        </is>
      </c>
      <c r="F26" t="inlineStr">
        <is>
          <t>Vyrava (PL&gt;SK)</t>
        </is>
      </c>
      <c r="G26" t="inlineStr">
        <is>
          <t>Firm</t>
        </is>
      </c>
      <c r="H26" t="inlineStr">
        <is>
          <t>EUR</t>
        </is>
      </c>
      <c r="I26" t="inlineStr">
        <is>
          <t>kWh/h</t>
        </is>
      </c>
      <c r="J26" t="n">
        <v>67</v>
      </c>
      <c r="K26" t="n">
        <v>5</v>
      </c>
      <c r="L26" t="n">
        <v>2022</v>
      </c>
    </row>
    <row r="27">
      <c r="A27" t="n">
        <v>26</v>
      </c>
      <c r="B27" t="inlineStr">
        <is>
          <t>EUSTR</t>
        </is>
      </c>
      <c r="C27" t="inlineStr">
        <is>
          <t>Eustream</t>
        </is>
      </c>
      <c r="D27" t="inlineStr">
        <is>
          <t>Exit</t>
        </is>
      </c>
      <c r="E27" t="inlineStr">
        <is>
          <t>21Z000000000358C</t>
        </is>
      </c>
      <c r="F27" t="inlineStr">
        <is>
          <t>Balassagyarmat (SK&gt;HU)</t>
        </is>
      </c>
      <c r="G27" t="inlineStr">
        <is>
          <t>Firm</t>
        </is>
      </c>
      <c r="H27" t="inlineStr">
        <is>
          <t>EUR</t>
        </is>
      </c>
      <c r="I27" t="inlineStr">
        <is>
          <t>kWh/h</t>
        </is>
      </c>
      <c r="J27" t="n">
        <v>72</v>
      </c>
      <c r="K27" t="n">
        <v>6</v>
      </c>
      <c r="L27" t="n">
        <v>2021</v>
      </c>
    </row>
    <row r="28">
      <c r="A28" t="n">
        <v>27</v>
      </c>
      <c r="B28" t="inlineStr">
        <is>
          <t>EUSTR</t>
        </is>
      </c>
      <c r="C28" t="inlineStr">
        <is>
          <t>Eustream</t>
        </is>
      </c>
      <c r="D28" t="inlineStr">
        <is>
          <t>Exit</t>
        </is>
      </c>
      <c r="E28" t="inlineStr">
        <is>
          <t>21Y---A001A023-Y</t>
        </is>
      </c>
      <c r="F28" t="inlineStr">
        <is>
          <t>Baumgarten (SK&gt;AT)</t>
        </is>
      </c>
      <c r="G28" t="inlineStr">
        <is>
          <t>Firm</t>
        </is>
      </c>
      <c r="H28" t="inlineStr">
        <is>
          <t>EUR</t>
        </is>
      </c>
      <c r="I28" t="inlineStr">
        <is>
          <t>kWh/h</t>
        </is>
      </c>
      <c r="J28" t="n">
        <v>78</v>
      </c>
      <c r="K28" t="n">
        <v>6</v>
      </c>
      <c r="L28" t="n">
        <v>2021</v>
      </c>
    </row>
    <row r="29">
      <c r="A29" t="n">
        <v>28</v>
      </c>
      <c r="B29" t="inlineStr">
        <is>
          <t>EUSTR</t>
        </is>
      </c>
      <c r="C29" t="inlineStr">
        <is>
          <t>Eustream</t>
        </is>
      </c>
      <c r="D29" t="inlineStr">
        <is>
          <t>Exit</t>
        </is>
      </c>
      <c r="E29" t="inlineStr">
        <is>
          <t>21Z000000000061Z</t>
        </is>
      </c>
      <c r="F29" t="inlineStr">
        <is>
          <t>Lanžhot (SK&gt;CZ)</t>
        </is>
      </c>
      <c r="G29" t="inlineStr">
        <is>
          <t>Firm</t>
        </is>
      </c>
      <c r="H29" t="inlineStr">
        <is>
          <t>EUR</t>
        </is>
      </c>
      <c r="I29" t="inlineStr">
        <is>
          <t>kWh/h</t>
        </is>
      </c>
      <c r="J29" t="n">
        <v>84</v>
      </c>
      <c r="K29" t="n">
        <v>6</v>
      </c>
      <c r="L29" t="n">
        <v>2021</v>
      </c>
    </row>
    <row r="30">
      <c r="A30" t="n">
        <v>29</v>
      </c>
      <c r="B30" t="inlineStr">
        <is>
          <t>EUSTR</t>
        </is>
      </c>
      <c r="C30" t="inlineStr">
        <is>
          <t>Eustream</t>
        </is>
      </c>
      <c r="D30" t="inlineStr">
        <is>
          <t>Exit</t>
        </is>
      </c>
      <c r="E30" t="inlineStr">
        <is>
          <t>21Z000000000085L</t>
        </is>
      </c>
      <c r="F30" t="inlineStr">
        <is>
          <t>Uzhgorod/Velké Kapušany (SK&gt;UA)</t>
        </is>
      </c>
      <c r="G30" t="inlineStr">
        <is>
          <t>Firm</t>
        </is>
      </c>
      <c r="H30" t="inlineStr">
        <is>
          <t>EUR</t>
        </is>
      </c>
      <c r="I30" t="inlineStr">
        <is>
          <t>kWh/h</t>
        </is>
      </c>
      <c r="J30" t="n">
        <v>90</v>
      </c>
      <c r="K30" t="n">
        <v>6</v>
      </c>
      <c r="L30" t="n">
        <v>2021</v>
      </c>
    </row>
    <row r="31">
      <c r="A31" t="n">
        <v>30</v>
      </c>
      <c r="B31" t="inlineStr">
        <is>
          <t>EUSTR</t>
        </is>
      </c>
      <c r="C31" t="inlineStr">
        <is>
          <t>Eustream</t>
        </is>
      </c>
      <c r="D31" t="inlineStr">
        <is>
          <t>Exit</t>
        </is>
      </c>
      <c r="E31" t="inlineStr">
        <is>
          <t>21Z6035937275964</t>
        </is>
      </c>
      <c r="F31" t="inlineStr">
        <is>
          <t>Vyrava (SK&gt;PL)</t>
        </is>
      </c>
      <c r="G31" t="inlineStr">
        <is>
          <t>Firm</t>
        </is>
      </c>
      <c r="H31" t="inlineStr">
        <is>
          <t>EUR</t>
        </is>
      </c>
      <c r="I31" t="inlineStr">
        <is>
          <t>kWh/h</t>
        </is>
      </c>
      <c r="J31" t="n">
        <v>96</v>
      </c>
      <c r="K31" t="n">
        <v>5</v>
      </c>
      <c r="L31" t="n">
        <v>2022</v>
      </c>
    </row>
    <row r="32">
      <c r="A32" t="n">
        <v>31</v>
      </c>
      <c r="B32" t="inlineStr">
        <is>
          <t>FGSZ</t>
        </is>
      </c>
      <c r="C32" t="inlineStr">
        <is>
          <t>FGSZ</t>
        </is>
      </c>
      <c r="D32" t="inlineStr">
        <is>
          <t>Entry</t>
        </is>
      </c>
      <c r="E32" t="inlineStr">
        <is>
          <t>21Z000000000358C</t>
        </is>
      </c>
      <c r="F32" t="inlineStr">
        <is>
          <t>Balassagyarmat (SK&gt;HU)</t>
        </is>
      </c>
      <c r="G32" t="inlineStr">
        <is>
          <t>Firm</t>
        </is>
      </c>
      <c r="H32" t="inlineStr">
        <is>
          <t>HUF</t>
        </is>
      </c>
      <c r="I32" t="inlineStr">
        <is>
          <t>kWh/h</t>
        </is>
      </c>
      <c r="J32" t="n">
        <v>101</v>
      </c>
      <c r="K32" t="n">
        <v>5</v>
      </c>
      <c r="L32" t="n">
        <v>2022</v>
      </c>
    </row>
    <row r="33">
      <c r="A33" t="n">
        <v>32</v>
      </c>
      <c r="B33" t="inlineStr">
        <is>
          <t>FGSZ</t>
        </is>
      </c>
      <c r="C33" t="inlineStr">
        <is>
          <t>FGSZ</t>
        </is>
      </c>
      <c r="D33" t="inlineStr">
        <is>
          <t>Entry</t>
        </is>
      </c>
      <c r="E33" t="inlineStr">
        <is>
          <t>21Z000000000139O</t>
        </is>
      </c>
      <c r="F33" t="inlineStr">
        <is>
          <t>Beregdaróc (UA&gt;HU)</t>
        </is>
      </c>
      <c r="G33" t="inlineStr">
        <is>
          <t>Firm</t>
        </is>
      </c>
      <c r="H33" t="inlineStr">
        <is>
          <t>HUF</t>
        </is>
      </c>
      <c r="I33" t="inlineStr">
        <is>
          <t>kWh/h</t>
        </is>
      </c>
      <c r="J33" t="n">
        <v>106</v>
      </c>
      <c r="K33" t="n">
        <v>3</v>
      </c>
      <c r="L33" t="n">
        <v>2021</v>
      </c>
    </row>
    <row r="34">
      <c r="A34" t="n">
        <v>33</v>
      </c>
      <c r="B34" t="inlineStr">
        <is>
          <t>FGSZ</t>
        </is>
      </c>
      <c r="C34" t="inlineStr">
        <is>
          <t>FGSZ</t>
        </is>
      </c>
      <c r="D34" t="inlineStr">
        <is>
          <t>Entry</t>
        </is>
      </c>
      <c r="E34" t="inlineStr">
        <is>
          <t>21Z000000000236Q</t>
        </is>
      </c>
      <c r="F34" t="inlineStr">
        <is>
          <t>Csanádpalota (RO&gt;HU)</t>
        </is>
      </c>
      <c r="G34" t="inlineStr">
        <is>
          <t>Firm</t>
        </is>
      </c>
      <c r="H34" t="inlineStr">
        <is>
          <t>HUF</t>
        </is>
      </c>
      <c r="I34" t="inlineStr">
        <is>
          <t>kWh/h</t>
        </is>
      </c>
      <c r="J34" t="n">
        <v>109</v>
      </c>
      <c r="K34" t="n">
        <v>5</v>
      </c>
      <c r="L34" t="n">
        <v>2022</v>
      </c>
    </row>
    <row r="35">
      <c r="A35" t="n">
        <v>34</v>
      </c>
      <c r="B35" t="inlineStr">
        <is>
          <t>FGSZ</t>
        </is>
      </c>
      <c r="C35" t="inlineStr">
        <is>
          <t>FGSZ</t>
        </is>
      </c>
      <c r="D35" t="inlineStr">
        <is>
          <t>Entry</t>
        </is>
      </c>
      <c r="E35" t="inlineStr">
        <is>
          <t>21Z000000000249H</t>
        </is>
      </c>
      <c r="F35" t="inlineStr">
        <is>
          <t>Drávaszerdahely (CR&gt;HU)</t>
        </is>
      </c>
      <c r="G35" t="inlineStr">
        <is>
          <t>Firm</t>
        </is>
      </c>
      <c r="H35" t="inlineStr">
        <is>
          <t>HUF</t>
        </is>
      </c>
      <c r="I35" t="inlineStr">
        <is>
          <t>kWh/h</t>
        </is>
      </c>
      <c r="J35" t="n">
        <v>114</v>
      </c>
      <c r="K35" t="n">
        <v>5</v>
      </c>
      <c r="L35" t="n">
        <v>2022</v>
      </c>
    </row>
    <row r="36">
      <c r="A36" t="n">
        <v>35</v>
      </c>
      <c r="B36" t="inlineStr">
        <is>
          <t>FGSZ</t>
        </is>
      </c>
      <c r="C36" t="inlineStr">
        <is>
          <t>FGSZ</t>
        </is>
      </c>
      <c r="D36" t="inlineStr">
        <is>
          <t>Entry</t>
        </is>
      </c>
      <c r="E36" t="inlineStr">
        <is>
          <t>21Z000000000505P</t>
        </is>
      </c>
      <c r="F36" t="inlineStr">
        <is>
          <t>Kiskundorozsma 2 (RS&gt;HU)</t>
        </is>
      </c>
      <c r="G36" t="inlineStr">
        <is>
          <t>Firm</t>
        </is>
      </c>
      <c r="H36" t="inlineStr">
        <is>
          <t>HUF</t>
        </is>
      </c>
      <c r="I36" t="inlineStr">
        <is>
          <t>kWh/h</t>
        </is>
      </c>
      <c r="J36" t="n">
        <v>119</v>
      </c>
      <c r="K36" t="n">
        <v>5</v>
      </c>
      <c r="L36" t="n">
        <v>2022</v>
      </c>
    </row>
    <row r="37">
      <c r="A37" t="n">
        <v>36</v>
      </c>
      <c r="B37" t="inlineStr">
        <is>
          <t>FGSZ</t>
        </is>
      </c>
      <c r="C37" t="inlineStr">
        <is>
          <t>FGSZ</t>
        </is>
      </c>
      <c r="D37" t="inlineStr">
        <is>
          <t>Entry</t>
        </is>
      </c>
      <c r="E37" t="inlineStr">
        <is>
          <t>21Z000000000003C</t>
        </is>
      </c>
      <c r="F37" t="inlineStr">
        <is>
          <t>Mosonmagyaróvár (AT&gt;HU)</t>
        </is>
      </c>
      <c r="G37" t="inlineStr">
        <is>
          <t>Firm</t>
        </is>
      </c>
      <c r="H37" t="inlineStr">
        <is>
          <t>HUF</t>
        </is>
      </c>
      <c r="I37" t="inlineStr">
        <is>
          <t>kWh/h</t>
        </is>
      </c>
      <c r="J37" t="n">
        <v>124</v>
      </c>
      <c r="K37" t="n">
        <v>5</v>
      </c>
      <c r="L37" t="n">
        <v>2022</v>
      </c>
    </row>
    <row r="38">
      <c r="A38" t="n">
        <v>37</v>
      </c>
      <c r="B38" t="inlineStr">
        <is>
          <t>FGSZ</t>
        </is>
      </c>
      <c r="C38" t="inlineStr">
        <is>
          <t>FGSZ</t>
        </is>
      </c>
      <c r="D38" t="inlineStr">
        <is>
          <t>Entry</t>
        </is>
      </c>
      <c r="E38" t="inlineStr">
        <is>
          <t>21Z000000000507L</t>
        </is>
      </c>
      <c r="F38" t="inlineStr">
        <is>
          <t>VIP Bereg (UA&gt;HU)</t>
        </is>
      </c>
      <c r="G38" t="inlineStr">
        <is>
          <t>Firm</t>
        </is>
      </c>
      <c r="H38" t="inlineStr">
        <is>
          <t>HUF</t>
        </is>
      </c>
      <c r="I38" t="inlineStr">
        <is>
          <t>kWh/h</t>
        </is>
      </c>
      <c r="J38" t="n">
        <v>129</v>
      </c>
      <c r="K38" t="n">
        <v>5</v>
      </c>
      <c r="L38" t="n">
        <v>2022</v>
      </c>
    </row>
    <row r="39">
      <c r="A39" t="n">
        <v>38</v>
      </c>
      <c r="B39" t="inlineStr">
        <is>
          <t>FGSZ</t>
        </is>
      </c>
      <c r="C39" t="inlineStr">
        <is>
          <t>FGSZ</t>
        </is>
      </c>
      <c r="D39" t="inlineStr">
        <is>
          <t>Exit</t>
        </is>
      </c>
      <c r="E39" t="inlineStr">
        <is>
          <t>21Z000000000358C</t>
        </is>
      </c>
      <c r="F39" t="inlineStr">
        <is>
          <t>Balassagyarmat (HU&gt;SK)</t>
        </is>
      </c>
      <c r="G39" t="inlineStr">
        <is>
          <t>Firm</t>
        </is>
      </c>
      <c r="H39" t="inlineStr">
        <is>
          <t>HUF</t>
        </is>
      </c>
      <c r="I39" t="inlineStr">
        <is>
          <t>kWh/h</t>
        </is>
      </c>
      <c r="J39" t="n">
        <v>134</v>
      </c>
      <c r="K39" t="n">
        <v>5</v>
      </c>
      <c r="L39" t="n">
        <v>2022</v>
      </c>
    </row>
    <row r="40">
      <c r="A40" t="n">
        <v>39</v>
      </c>
      <c r="B40" t="inlineStr">
        <is>
          <t>FGSZ</t>
        </is>
      </c>
      <c r="C40" t="inlineStr">
        <is>
          <t>FGSZ</t>
        </is>
      </c>
      <c r="D40" t="inlineStr">
        <is>
          <t>Exit</t>
        </is>
      </c>
      <c r="E40" t="inlineStr">
        <is>
          <t>21Z000000000236Q</t>
        </is>
      </c>
      <c r="F40" t="inlineStr">
        <is>
          <t>Csanádpalota (HU&gt;RO)</t>
        </is>
      </c>
      <c r="G40" t="inlineStr">
        <is>
          <t>Firm</t>
        </is>
      </c>
      <c r="H40" t="inlineStr">
        <is>
          <t>HUF</t>
        </is>
      </c>
      <c r="I40" t="inlineStr">
        <is>
          <t>kWh/h</t>
        </is>
      </c>
      <c r="J40" t="n">
        <v>139</v>
      </c>
      <c r="K40" t="n">
        <v>5</v>
      </c>
      <c r="L40" t="n">
        <v>2022</v>
      </c>
    </row>
    <row r="41">
      <c r="A41" t="n">
        <v>40</v>
      </c>
      <c r="B41" t="inlineStr">
        <is>
          <t>FGSZ</t>
        </is>
      </c>
      <c r="C41" t="inlineStr">
        <is>
          <t>FGSZ</t>
        </is>
      </c>
      <c r="D41" t="inlineStr">
        <is>
          <t>Exit</t>
        </is>
      </c>
      <c r="E41" t="inlineStr">
        <is>
          <t>21Z000000000249H</t>
        </is>
      </c>
      <c r="F41" t="inlineStr">
        <is>
          <t>Drávaszerdahely (HU&gt;CR)</t>
        </is>
      </c>
      <c r="G41" t="inlineStr">
        <is>
          <t>Firm</t>
        </is>
      </c>
      <c r="H41" t="inlineStr">
        <is>
          <t>HUF</t>
        </is>
      </c>
      <c r="I41" t="inlineStr">
        <is>
          <t>kWh/h</t>
        </is>
      </c>
      <c r="J41" t="n">
        <v>144</v>
      </c>
      <c r="K41" t="n">
        <v>5</v>
      </c>
      <c r="L41" t="n">
        <v>2022</v>
      </c>
    </row>
    <row r="42">
      <c r="A42" t="n">
        <v>41</v>
      </c>
      <c r="B42" t="inlineStr">
        <is>
          <t>FGSZ</t>
        </is>
      </c>
      <c r="C42" t="inlineStr">
        <is>
          <t>FGSZ</t>
        </is>
      </c>
      <c r="D42" t="inlineStr">
        <is>
          <t>Exit</t>
        </is>
      </c>
      <c r="E42" t="inlineStr">
        <is>
          <t>21Z000000000154S</t>
        </is>
      </c>
      <c r="F42" t="inlineStr">
        <is>
          <t>Kiskundorozsma (HU&gt;RS)</t>
        </is>
      </c>
      <c r="G42" t="inlineStr">
        <is>
          <t>Firm</t>
        </is>
      </c>
      <c r="H42" t="inlineStr">
        <is>
          <t>HUF</t>
        </is>
      </c>
      <c r="I42" t="inlineStr">
        <is>
          <t>kWh/h</t>
        </is>
      </c>
      <c r="J42" t="n">
        <v>149</v>
      </c>
      <c r="K42" t="n">
        <v>5</v>
      </c>
      <c r="L42" t="n">
        <v>2022</v>
      </c>
    </row>
    <row r="43">
      <c r="A43" t="n">
        <v>42</v>
      </c>
      <c r="B43" t="inlineStr">
        <is>
          <t>FGSZ</t>
        </is>
      </c>
      <c r="C43" t="inlineStr">
        <is>
          <t>FGSZ</t>
        </is>
      </c>
      <c r="D43" t="inlineStr">
        <is>
          <t>Exit</t>
        </is>
      </c>
      <c r="E43" t="inlineStr">
        <is>
          <t>21Z000000000505P</t>
        </is>
      </c>
      <c r="F43" t="inlineStr">
        <is>
          <t>Kiskundorozsma 2 (HU&gt;RS)</t>
        </is>
      </c>
      <c r="G43" t="inlineStr">
        <is>
          <t>Interruptible</t>
        </is>
      </c>
      <c r="H43" t="inlineStr">
        <is>
          <t>HUF</t>
        </is>
      </c>
      <c r="I43" t="inlineStr">
        <is>
          <t>kWh/h</t>
        </is>
      </c>
      <c r="J43" t="n">
        <v>154</v>
      </c>
      <c r="K43" t="n">
        <v>4</v>
      </c>
      <c r="L43" t="n">
        <v>2021</v>
      </c>
    </row>
    <row r="44">
      <c r="A44" t="n">
        <v>43</v>
      </c>
      <c r="B44" t="inlineStr">
        <is>
          <t>FGSZ</t>
        </is>
      </c>
      <c r="C44" t="inlineStr">
        <is>
          <t>FGSZ</t>
        </is>
      </c>
      <c r="D44" t="inlineStr">
        <is>
          <t>Exit</t>
        </is>
      </c>
      <c r="E44" t="inlineStr">
        <is>
          <t>21Z000000000003C</t>
        </is>
      </c>
      <c r="F44" t="inlineStr">
        <is>
          <t>Mosonmagyaróvár (HU&gt;AT)</t>
        </is>
      </c>
      <c r="G44" t="inlineStr">
        <is>
          <t>Interruptible</t>
        </is>
      </c>
      <c r="H44" t="inlineStr">
        <is>
          <t>HUF</t>
        </is>
      </c>
      <c r="I44" t="inlineStr">
        <is>
          <t>kWh/h</t>
        </is>
      </c>
      <c r="J44" t="n">
        <v>158</v>
      </c>
      <c r="K44" t="n">
        <v>5</v>
      </c>
      <c r="L44" t="n">
        <v>2022</v>
      </c>
    </row>
    <row r="45">
      <c r="A45" t="n">
        <v>44</v>
      </c>
      <c r="B45" t="inlineStr">
        <is>
          <t>FGSZ</t>
        </is>
      </c>
      <c r="C45" t="inlineStr">
        <is>
          <t>FGSZ</t>
        </is>
      </c>
      <c r="D45" t="inlineStr">
        <is>
          <t>Exit</t>
        </is>
      </c>
      <c r="E45" t="inlineStr">
        <is>
          <t>21Z000000000507L</t>
        </is>
      </c>
      <c r="F45" t="inlineStr">
        <is>
          <t>VIP Bereg (HU&gt;UA)</t>
        </is>
      </c>
      <c r="G45" t="inlineStr">
        <is>
          <t>Firm</t>
        </is>
      </c>
      <c r="H45" t="inlineStr">
        <is>
          <t>HUF</t>
        </is>
      </c>
      <c r="I45" t="inlineStr">
        <is>
          <t>kWh/h</t>
        </is>
      </c>
      <c r="J45" t="n">
        <v>163</v>
      </c>
      <c r="K45" t="n">
        <v>5</v>
      </c>
      <c r="L45" t="n">
        <v>2022</v>
      </c>
    </row>
    <row r="46">
      <c r="A46" t="n">
        <v>45</v>
      </c>
      <c r="B46" t="inlineStr">
        <is>
          <t>GCA</t>
        </is>
      </c>
      <c r="C46" t="inlineStr">
        <is>
          <t>Gas Connect Austria</t>
        </is>
      </c>
      <c r="D46" t="inlineStr">
        <is>
          <t>Entry</t>
        </is>
      </c>
      <c r="E46" t="inlineStr">
        <is>
          <t>21Z000000000163R</t>
        </is>
      </c>
      <c r="F46" t="inlineStr">
        <is>
          <t>Baumgarten (SK&gt;AT)</t>
        </is>
      </c>
      <c r="G46" t="inlineStr">
        <is>
          <t>Firm</t>
        </is>
      </c>
      <c r="H46" t="inlineStr">
        <is>
          <t>EUR</t>
        </is>
      </c>
      <c r="I46" t="inlineStr">
        <is>
          <t>kWh/h</t>
        </is>
      </c>
      <c r="J46" t="n">
        <v>168</v>
      </c>
      <c r="K46" t="n">
        <v>4</v>
      </c>
      <c r="L46" t="n">
        <v>2020</v>
      </c>
    </row>
    <row r="47">
      <c r="A47" t="n">
        <v>46</v>
      </c>
      <c r="B47" t="inlineStr">
        <is>
          <t>GCA</t>
        </is>
      </c>
      <c r="C47" t="inlineStr">
        <is>
          <t>Gas Connect Austria</t>
        </is>
      </c>
      <c r="D47" t="inlineStr">
        <is>
          <t>Entry</t>
        </is>
      </c>
      <c r="E47" t="inlineStr">
        <is>
          <t>21Z000000000003C</t>
        </is>
      </c>
      <c r="F47" t="inlineStr">
        <is>
          <t>Mosonmagyaróvár (HU&gt;AT)</t>
        </is>
      </c>
      <c r="G47" t="inlineStr">
        <is>
          <t>Interruptible</t>
        </is>
      </c>
      <c r="H47" t="inlineStr">
        <is>
          <t>EUR</t>
        </is>
      </c>
      <c r="I47" t="inlineStr">
        <is>
          <t>kWh/h</t>
        </is>
      </c>
      <c r="J47" t="n">
        <v>172</v>
      </c>
      <c r="K47" t="n">
        <v>4</v>
      </c>
      <c r="L47" t="n">
        <v>2020</v>
      </c>
    </row>
    <row r="48">
      <c r="A48" t="n">
        <v>47</v>
      </c>
      <c r="B48" t="inlineStr">
        <is>
          <t>GCA</t>
        </is>
      </c>
      <c r="C48" t="inlineStr">
        <is>
          <t>Gas Connect Austria</t>
        </is>
      </c>
      <c r="D48" t="inlineStr">
        <is>
          <t>Entry</t>
        </is>
      </c>
      <c r="E48" t="inlineStr">
        <is>
          <t>21Z0000000000058</t>
        </is>
      </c>
      <c r="F48" t="inlineStr">
        <is>
          <t>Murfeld/Ceršak (SI&gt;AT)</t>
        </is>
      </c>
      <c r="G48" t="inlineStr">
        <is>
          <t>Interruptible</t>
        </is>
      </c>
      <c r="H48" t="inlineStr">
        <is>
          <t>EUR</t>
        </is>
      </c>
      <c r="I48" t="inlineStr">
        <is>
          <t>kWh/h</t>
        </is>
      </c>
      <c r="J48" t="n">
        <v>176</v>
      </c>
      <c r="K48" t="n">
        <v>4</v>
      </c>
      <c r="L48" t="n">
        <v>2020</v>
      </c>
    </row>
    <row r="49">
      <c r="A49" t="n">
        <v>48</v>
      </c>
      <c r="B49" t="inlineStr">
        <is>
          <t>GCA</t>
        </is>
      </c>
      <c r="C49" t="inlineStr">
        <is>
          <t>Gas Connect Austria</t>
        </is>
      </c>
      <c r="D49" t="inlineStr">
        <is>
          <t>Entry</t>
        </is>
      </c>
      <c r="E49" t="inlineStr">
        <is>
          <t>21Z000000000490C</t>
        </is>
      </c>
      <c r="F49" t="inlineStr">
        <is>
          <t>VIP Oberkappel (DE&gt;AT)</t>
        </is>
      </c>
      <c r="G49" t="inlineStr">
        <is>
          <t>Firm</t>
        </is>
      </c>
      <c r="H49" t="inlineStr">
        <is>
          <t>EUR</t>
        </is>
      </c>
      <c r="I49" t="inlineStr">
        <is>
          <t>kWh/h</t>
        </is>
      </c>
      <c r="J49" t="n">
        <v>180</v>
      </c>
      <c r="K49" t="n">
        <v>4</v>
      </c>
      <c r="L49" t="n">
        <v>2020</v>
      </c>
    </row>
    <row r="50">
      <c r="A50" t="n">
        <v>49</v>
      </c>
      <c r="B50" t="inlineStr">
        <is>
          <t>GCA</t>
        </is>
      </c>
      <c r="C50" t="inlineStr">
        <is>
          <t>Gas Connect Austria</t>
        </is>
      </c>
      <c r="D50" t="inlineStr">
        <is>
          <t>Exit</t>
        </is>
      </c>
      <c r="E50" t="inlineStr">
        <is>
          <t>21Z000000000163R</t>
        </is>
      </c>
      <c r="F50" t="inlineStr">
        <is>
          <t>Baumgarten (AT&gt;SK)</t>
        </is>
      </c>
      <c r="G50" t="inlineStr">
        <is>
          <t>Firm</t>
        </is>
      </c>
      <c r="H50" t="inlineStr">
        <is>
          <t>EUR</t>
        </is>
      </c>
      <c r="I50" t="inlineStr">
        <is>
          <t>kWh/h</t>
        </is>
      </c>
      <c r="J50" t="n">
        <v>184</v>
      </c>
      <c r="K50" t="n">
        <v>4</v>
      </c>
      <c r="L50" t="n">
        <v>2020</v>
      </c>
    </row>
    <row r="51">
      <c r="A51" t="n">
        <v>50</v>
      </c>
      <c r="B51" t="inlineStr">
        <is>
          <t>GCA</t>
        </is>
      </c>
      <c r="C51" t="inlineStr">
        <is>
          <t>Gas Connect Austria</t>
        </is>
      </c>
      <c r="D51" t="inlineStr">
        <is>
          <t>Exit</t>
        </is>
      </c>
      <c r="E51" t="inlineStr">
        <is>
          <t>21Z000000000003C</t>
        </is>
      </c>
      <c r="F51" t="inlineStr">
        <is>
          <t>Mosonmagyaróvár (AT&gt;HU)</t>
        </is>
      </c>
      <c r="G51" t="inlineStr">
        <is>
          <t>Firm</t>
        </is>
      </c>
      <c r="H51" t="inlineStr">
        <is>
          <t>EUR</t>
        </is>
      </c>
      <c r="I51" t="inlineStr">
        <is>
          <t>kWh/h</t>
        </is>
      </c>
      <c r="J51" t="n">
        <v>188</v>
      </c>
      <c r="K51" t="n">
        <v>4</v>
      </c>
      <c r="L51" t="n">
        <v>2020</v>
      </c>
    </row>
    <row r="52">
      <c r="A52" t="n">
        <v>51</v>
      </c>
      <c r="B52" t="inlineStr">
        <is>
          <t>GCA</t>
        </is>
      </c>
      <c r="C52" t="inlineStr">
        <is>
          <t>Gas Connect Austria</t>
        </is>
      </c>
      <c r="D52" t="inlineStr">
        <is>
          <t>Exit</t>
        </is>
      </c>
      <c r="E52" t="inlineStr">
        <is>
          <t>21Z0000000000058</t>
        </is>
      </c>
      <c r="F52" t="inlineStr">
        <is>
          <t>Murfeld/Ceršak (AT&gt;SI)</t>
        </is>
      </c>
      <c r="G52" t="inlineStr">
        <is>
          <t>Firm</t>
        </is>
      </c>
      <c r="H52" t="inlineStr">
        <is>
          <t>EUR</t>
        </is>
      </c>
      <c r="I52" t="inlineStr">
        <is>
          <t>kWh/h</t>
        </is>
      </c>
      <c r="J52" t="n">
        <v>192</v>
      </c>
      <c r="K52" t="n">
        <v>4</v>
      </c>
      <c r="L52" t="n">
        <v>2020</v>
      </c>
    </row>
    <row r="53">
      <c r="A53" t="n">
        <v>52</v>
      </c>
      <c r="B53" t="inlineStr">
        <is>
          <t>GCA</t>
        </is>
      </c>
      <c r="C53" t="inlineStr">
        <is>
          <t>Gas Connect Austria</t>
        </is>
      </c>
      <c r="D53" t="inlineStr">
        <is>
          <t>Exit</t>
        </is>
      </c>
      <c r="E53" t="inlineStr">
        <is>
          <t>21Z000000000490C</t>
        </is>
      </c>
      <c r="F53" t="inlineStr">
        <is>
          <t>VIP Oberkappel (AT&gt;DE)</t>
        </is>
      </c>
      <c r="G53" t="inlineStr">
        <is>
          <t>Firm</t>
        </is>
      </c>
      <c r="H53" t="inlineStr">
        <is>
          <t>EUR</t>
        </is>
      </c>
      <c r="I53" t="inlineStr">
        <is>
          <t>kWh/h</t>
        </is>
      </c>
      <c r="J53" t="n">
        <v>196</v>
      </c>
      <c r="K53" t="n">
        <v>4</v>
      </c>
      <c r="L53" t="n">
        <v>2020</v>
      </c>
    </row>
    <row r="54">
      <c r="A54" t="n">
        <v>53</v>
      </c>
      <c r="B54" t="inlineStr">
        <is>
          <t>UKRTRAG</t>
        </is>
      </c>
      <c r="C54" t="inlineStr">
        <is>
          <t>Gas TSO of Ukraine</t>
        </is>
      </c>
      <c r="D54" t="inlineStr">
        <is>
          <t>Entry</t>
        </is>
      </c>
      <c r="E54" t="inlineStr">
        <is>
          <t>21Z000000000085L</t>
        </is>
      </c>
      <c r="F54" t="inlineStr">
        <is>
          <t>Uzhgorod/Velké Kapušany (SK&gt;UA)</t>
        </is>
      </c>
      <c r="G54" t="inlineStr">
        <is>
          <t>Firm</t>
        </is>
      </c>
      <c r="H54" t="inlineStr">
        <is>
          <t>EUR</t>
        </is>
      </c>
      <c r="I54" t="inlineStr">
        <is>
          <t>kWh/d</t>
        </is>
      </c>
      <c r="J54" t="n">
        <v>200</v>
      </c>
      <c r="K54" t="n">
        <v>3</v>
      </c>
      <c r="L54" t="n">
        <v>2020</v>
      </c>
    </row>
    <row r="55">
      <c r="A55" t="n">
        <v>54</v>
      </c>
      <c r="B55" t="inlineStr">
        <is>
          <t>UKRTRAG</t>
        </is>
      </c>
      <c r="C55" t="inlineStr">
        <is>
          <t>Gas TSO of Ukraine</t>
        </is>
      </c>
      <c r="D55" t="inlineStr">
        <is>
          <t>Entry</t>
        </is>
      </c>
      <c r="E55" t="inlineStr">
        <is>
          <t>21Z000000000507L</t>
        </is>
      </c>
      <c r="F55" t="inlineStr">
        <is>
          <t>VIP Bereg (HU&gt;UA)</t>
        </is>
      </c>
      <c r="G55" t="inlineStr">
        <is>
          <t>Firm</t>
        </is>
      </c>
      <c r="H55" t="inlineStr">
        <is>
          <t>EUR</t>
        </is>
      </c>
      <c r="I55" t="inlineStr">
        <is>
          <t>kWh/d</t>
        </is>
      </c>
      <c r="J55" t="n">
        <v>203</v>
      </c>
      <c r="K55" t="n">
        <v>3</v>
      </c>
      <c r="L55" t="n">
        <v>2020</v>
      </c>
    </row>
    <row r="56">
      <c r="A56" t="n">
        <v>55</v>
      </c>
      <c r="B56" t="inlineStr">
        <is>
          <t>UKRTRAG</t>
        </is>
      </c>
      <c r="C56" t="inlineStr">
        <is>
          <t>Gas TSO of Ukraine</t>
        </is>
      </c>
      <c r="D56" t="inlineStr">
        <is>
          <t>Exit</t>
        </is>
      </c>
      <c r="E56" t="inlineStr">
        <is>
          <t>21Z000000000085L</t>
        </is>
      </c>
      <c r="F56" t="inlineStr">
        <is>
          <t>Uzhgorod/Velké Kapušany (UA&gt;SK)</t>
        </is>
      </c>
      <c r="G56" t="inlineStr">
        <is>
          <t>Firm</t>
        </is>
      </c>
      <c r="H56" t="inlineStr">
        <is>
          <t>EUR</t>
        </is>
      </c>
      <c r="I56" t="inlineStr">
        <is>
          <t>kWh/d</t>
        </is>
      </c>
      <c r="J56" t="n">
        <v>206</v>
      </c>
      <c r="K56" t="n">
        <v>3</v>
      </c>
      <c r="L56" t="n">
        <v>2020</v>
      </c>
    </row>
    <row r="57">
      <c r="A57" t="n">
        <v>56</v>
      </c>
      <c r="B57" t="inlineStr">
        <is>
          <t>UKRTRAG</t>
        </is>
      </c>
      <c r="C57" t="inlineStr">
        <is>
          <t>Gas TSO of Ukraine</t>
        </is>
      </c>
      <c r="D57" t="inlineStr">
        <is>
          <t>Exit</t>
        </is>
      </c>
      <c r="E57" t="inlineStr">
        <is>
          <t>21Z000000000507L</t>
        </is>
      </c>
      <c r="F57" t="inlineStr">
        <is>
          <t>VIP Bereg (UA&gt;HU)</t>
        </is>
      </c>
      <c r="G57" t="inlineStr">
        <is>
          <t>Firm</t>
        </is>
      </c>
      <c r="H57" t="inlineStr">
        <is>
          <t>EUR</t>
        </is>
      </c>
      <c r="I57" t="inlineStr">
        <is>
          <t>kWh/d</t>
        </is>
      </c>
      <c r="J57" t="n">
        <v>209</v>
      </c>
      <c r="K57" t="n">
        <v>3</v>
      </c>
      <c r="L57" t="n">
        <v>2020</v>
      </c>
    </row>
    <row r="58">
      <c r="A58" t="n">
        <v>57</v>
      </c>
      <c r="B58" t="inlineStr">
        <is>
          <t>GASCADE</t>
        </is>
      </c>
      <c r="C58" t="inlineStr">
        <is>
          <t>GASCADE</t>
        </is>
      </c>
      <c r="D58" t="inlineStr">
        <is>
          <t>Entry</t>
        </is>
      </c>
      <c r="E58" t="inlineStr">
        <is>
          <t>21Z0000000004863</t>
        </is>
      </c>
      <c r="F58" t="inlineStr">
        <is>
          <t>VIP Brandov-GASPOOL (CZ&gt;DE)</t>
        </is>
      </c>
      <c r="G58" t="inlineStr">
        <is>
          <t>Firm</t>
        </is>
      </c>
      <c r="H58" t="inlineStr">
        <is>
          <t>EUR</t>
        </is>
      </c>
      <c r="I58" t="inlineStr">
        <is>
          <t>kWh/h</t>
        </is>
      </c>
      <c r="J58" t="n">
        <v>212</v>
      </c>
      <c r="K58" t="n">
        <v>6</v>
      </c>
      <c r="L58" t="n">
        <v>2021</v>
      </c>
    </row>
    <row r="59">
      <c r="A59" t="n">
        <v>58</v>
      </c>
      <c r="B59" t="inlineStr">
        <is>
          <t>GASCADE</t>
        </is>
      </c>
      <c r="C59" t="inlineStr">
        <is>
          <t>GASCADE</t>
        </is>
      </c>
      <c r="D59" t="inlineStr">
        <is>
          <t>Exit</t>
        </is>
      </c>
      <c r="E59" t="inlineStr">
        <is>
          <t>21Z0000000004863</t>
        </is>
      </c>
      <c r="F59" t="inlineStr">
        <is>
          <t>VIP Brandov-GASPOOL (DE&gt;CZ)</t>
        </is>
      </c>
      <c r="G59" t="inlineStr">
        <is>
          <t>Firm</t>
        </is>
      </c>
      <c r="H59" t="inlineStr">
        <is>
          <t>EUR</t>
        </is>
      </c>
      <c r="I59" t="inlineStr">
        <is>
          <t>kWh/h</t>
        </is>
      </c>
      <c r="J59" t="n">
        <v>218</v>
      </c>
      <c r="K59" t="n">
        <v>6</v>
      </c>
      <c r="L59" t="n">
        <v>2021</v>
      </c>
    </row>
    <row r="60">
      <c r="A60" t="n">
        <v>59</v>
      </c>
      <c r="B60" t="inlineStr">
        <is>
          <t>Gastran</t>
        </is>
      </c>
      <c r="C60" t="inlineStr">
        <is>
          <t>Gastrans</t>
        </is>
      </c>
      <c r="D60" t="inlineStr">
        <is>
          <t>Entry</t>
        </is>
      </c>
      <c r="E60" t="inlineStr">
        <is>
          <t>58Z-000000007-KZ</t>
        </is>
      </c>
      <c r="F60" t="inlineStr">
        <is>
          <t>Kireevo/Zaychar (BG&gt;RS)</t>
        </is>
      </c>
      <c r="G60" t="inlineStr">
        <is>
          <t>Firm</t>
        </is>
      </c>
      <c r="H60" t="inlineStr">
        <is>
          <t>EUR</t>
        </is>
      </c>
      <c r="I60" t="inlineStr">
        <is>
          <t>kWh/h</t>
        </is>
      </c>
      <c r="J60" t="n">
        <v>224</v>
      </c>
      <c r="K60" t="n">
        <v>6</v>
      </c>
      <c r="L60" t="n">
        <v>2022</v>
      </c>
    </row>
    <row r="61">
      <c r="A61" t="n">
        <v>60</v>
      </c>
      <c r="B61" t="inlineStr">
        <is>
          <t>Gastran</t>
        </is>
      </c>
      <c r="C61" t="inlineStr">
        <is>
          <t>Gastrans</t>
        </is>
      </c>
      <c r="D61" t="inlineStr">
        <is>
          <t>Entry</t>
        </is>
      </c>
      <c r="E61" t="inlineStr">
        <is>
          <t>21Z000000000505P</t>
        </is>
      </c>
      <c r="F61" t="inlineStr">
        <is>
          <t>Kiskundorozsma 2 (HU&gt;RS)</t>
        </is>
      </c>
      <c r="G61" t="inlineStr">
        <is>
          <t>Interruptible</t>
        </is>
      </c>
      <c r="H61" t="inlineStr">
        <is>
          <t>EUR</t>
        </is>
      </c>
      <c r="I61" t="inlineStr">
        <is>
          <t>kWh/h</t>
        </is>
      </c>
      <c r="J61" t="n">
        <v>230</v>
      </c>
      <c r="K61" t="n">
        <v>3</v>
      </c>
      <c r="L61" t="n">
        <v>2024</v>
      </c>
    </row>
    <row r="62">
      <c r="A62" t="n">
        <v>61</v>
      </c>
      <c r="B62" t="inlineStr">
        <is>
          <t>Gastran</t>
        </is>
      </c>
      <c r="C62" t="inlineStr">
        <is>
          <t>Gastrans</t>
        </is>
      </c>
      <c r="D62" t="inlineStr">
        <is>
          <t>Exit</t>
        </is>
      </c>
      <c r="E62" t="inlineStr">
        <is>
          <t>58Z-000000007-KZ</t>
        </is>
      </c>
      <c r="F62" t="inlineStr">
        <is>
          <t>Kireevo/Zaychar (RS&gt;BG)</t>
        </is>
      </c>
      <c r="G62" t="inlineStr">
        <is>
          <t>Interruptible</t>
        </is>
      </c>
      <c r="H62" t="inlineStr">
        <is>
          <t>EUR</t>
        </is>
      </c>
      <c r="I62" t="inlineStr">
        <is>
          <t>kWh/h</t>
        </is>
      </c>
      <c r="J62" t="n">
        <v>233</v>
      </c>
      <c r="K62" t="n">
        <v>3</v>
      </c>
      <c r="L62" t="n">
        <v>2024</v>
      </c>
    </row>
    <row r="63">
      <c r="A63" t="n">
        <v>62</v>
      </c>
      <c r="B63" t="inlineStr">
        <is>
          <t>Gastran</t>
        </is>
      </c>
      <c r="C63" t="inlineStr">
        <is>
          <t>Gastrans</t>
        </is>
      </c>
      <c r="D63" t="inlineStr">
        <is>
          <t>Exit</t>
        </is>
      </c>
      <c r="E63" t="inlineStr">
        <is>
          <t>21Z000000000505P</t>
        </is>
      </c>
      <c r="F63" t="inlineStr">
        <is>
          <t>Kiskundorozsma 2 (RS&gt;HU)</t>
        </is>
      </c>
      <c r="G63" t="inlineStr">
        <is>
          <t>Firm</t>
        </is>
      </c>
      <c r="H63" t="inlineStr">
        <is>
          <t>EUR</t>
        </is>
      </c>
      <c r="I63" t="inlineStr">
        <is>
          <t>kWh/h</t>
        </is>
      </c>
      <c r="J63" t="n">
        <v>236</v>
      </c>
      <c r="K63" t="n">
        <v>6</v>
      </c>
      <c r="L63" t="n">
        <v>2022</v>
      </c>
    </row>
    <row r="64">
      <c r="A64" t="n">
        <v>63</v>
      </c>
      <c r="B64" t="inlineStr">
        <is>
          <t>Gasunie</t>
        </is>
      </c>
      <c r="C64" t="inlineStr">
        <is>
          <t>Gasunie Deutschland</t>
        </is>
      </c>
      <c r="D64" t="inlineStr">
        <is>
          <t>Entry</t>
        </is>
      </c>
      <c r="E64" t="inlineStr">
        <is>
          <t>21Z0019743987060</t>
        </is>
      </c>
      <c r="F64" t="inlineStr">
        <is>
          <t>VIP TTF-THE-H (NL&gt;DE)</t>
        </is>
      </c>
      <c r="G64" t="inlineStr">
        <is>
          <t>Firm</t>
        </is>
      </c>
      <c r="H64" t="inlineStr">
        <is>
          <t>EUR</t>
        </is>
      </c>
      <c r="I64" t="inlineStr">
        <is>
          <t>kWh/h</t>
        </is>
      </c>
      <c r="J64" t="n">
        <v>242</v>
      </c>
      <c r="K64" t="n">
        <v>6</v>
      </c>
      <c r="L64" t="n">
        <v>2021</v>
      </c>
    </row>
    <row r="65">
      <c r="A65" t="n">
        <v>64</v>
      </c>
      <c r="B65" t="inlineStr">
        <is>
          <t>Gasunie</t>
        </is>
      </c>
      <c r="C65" t="inlineStr">
        <is>
          <t>Gasunie Deutschland</t>
        </is>
      </c>
      <c r="D65" t="inlineStr">
        <is>
          <t>Exit</t>
        </is>
      </c>
      <c r="E65" t="inlineStr">
        <is>
          <t>21Z0019743987060</t>
        </is>
      </c>
      <c r="F65" t="inlineStr">
        <is>
          <t>VIP TTF-THE-H (DE&gt;NL)</t>
        </is>
      </c>
      <c r="G65" t="inlineStr">
        <is>
          <t>Firm</t>
        </is>
      </c>
      <c r="H65" t="inlineStr">
        <is>
          <t>EUR</t>
        </is>
      </c>
      <c r="I65" t="inlineStr">
        <is>
          <t>kWh/h</t>
        </is>
      </c>
      <c r="J65" t="n">
        <v>248</v>
      </c>
      <c r="K65" t="n">
        <v>6</v>
      </c>
      <c r="L65" t="n">
        <v>2021</v>
      </c>
    </row>
    <row r="66">
      <c r="A66" t="n">
        <v>65</v>
      </c>
      <c r="B66" t="inlineStr">
        <is>
          <t>GTS</t>
        </is>
      </c>
      <c r="C66" t="inlineStr">
        <is>
          <t>Gasunie Transport Services</t>
        </is>
      </c>
      <c r="D66" t="inlineStr">
        <is>
          <t>Entry</t>
        </is>
      </c>
      <c r="E66" t="inlineStr">
        <is>
          <t>21Z0019743987060</t>
        </is>
      </c>
      <c r="F66" t="inlineStr">
        <is>
          <t>VIP TTF-THE-H (DE&gt;NL)</t>
        </is>
      </c>
      <c r="G66" t="inlineStr">
        <is>
          <t>Firm</t>
        </is>
      </c>
      <c r="H66" t="inlineStr">
        <is>
          <t>EUR</t>
        </is>
      </c>
      <c r="I66" t="inlineStr">
        <is>
          <t>kWh/h</t>
        </is>
      </c>
      <c r="J66" t="n">
        <v>254</v>
      </c>
      <c r="K66" t="n">
        <v>5</v>
      </c>
      <c r="L66" t="n">
        <v>2022</v>
      </c>
    </row>
    <row r="67">
      <c r="A67" t="n">
        <v>66</v>
      </c>
      <c r="B67" t="inlineStr">
        <is>
          <t>GTS</t>
        </is>
      </c>
      <c r="C67" t="inlineStr">
        <is>
          <t>Gasunie Transport Services</t>
        </is>
      </c>
      <c r="D67" t="inlineStr">
        <is>
          <t>Exit</t>
        </is>
      </c>
      <c r="E67" t="inlineStr">
        <is>
          <t>21Z0019743987060</t>
        </is>
      </c>
      <c r="F67" t="inlineStr">
        <is>
          <t>VIP TTF-THE-H (NL&gt;DE)</t>
        </is>
      </c>
      <c r="G67" t="inlineStr">
        <is>
          <t>Firm</t>
        </is>
      </c>
      <c r="H67" t="inlineStr">
        <is>
          <t>EUR</t>
        </is>
      </c>
      <c r="I67" t="inlineStr">
        <is>
          <t>kWh/h</t>
        </is>
      </c>
      <c r="J67" t="n">
        <v>259</v>
      </c>
      <c r="K67" t="n">
        <v>5</v>
      </c>
      <c r="L67" t="n">
        <v>2022</v>
      </c>
    </row>
    <row r="68">
      <c r="A68" t="n">
        <v>67</v>
      </c>
      <c r="B68" t="inlineStr">
        <is>
          <t>GAZSYS</t>
        </is>
      </c>
      <c r="C68" t="inlineStr">
        <is>
          <t>GAZ-SYSTEM</t>
        </is>
      </c>
      <c r="D68" t="inlineStr">
        <is>
          <t>Entry</t>
        </is>
      </c>
      <c r="E68" t="inlineStr">
        <is>
          <t>21Z000000000239K</t>
        </is>
      </c>
      <c r="F68" t="inlineStr">
        <is>
          <t>Cieszyn (CZ&gt;PL)</t>
        </is>
      </c>
      <c r="G68" t="inlineStr">
        <is>
          <t>Firm</t>
        </is>
      </c>
      <c r="H68" t="inlineStr">
        <is>
          <t>PLN</t>
        </is>
      </c>
      <c r="I68" t="inlineStr">
        <is>
          <t>kWh/h</t>
        </is>
      </c>
      <c r="J68" t="n">
        <v>264</v>
      </c>
      <c r="K68" t="n">
        <v>5</v>
      </c>
      <c r="L68" t="n">
        <v>2022</v>
      </c>
    </row>
    <row r="69">
      <c r="A69" t="n">
        <v>68</v>
      </c>
      <c r="B69" t="inlineStr">
        <is>
          <t>GAZSYS</t>
        </is>
      </c>
      <c r="C69" t="inlineStr">
        <is>
          <t>GAZ-SYSTEM</t>
        </is>
      </c>
      <c r="D69" t="inlineStr">
        <is>
          <t>Entry</t>
        </is>
      </c>
      <c r="E69" t="inlineStr">
        <is>
          <t>21Z000000000508J</t>
        </is>
      </c>
      <c r="F69" t="inlineStr">
        <is>
          <t>GCP GAZ-SYSTEM/UA TSO (UA&gt;PL)</t>
        </is>
      </c>
      <c r="G69" t="inlineStr">
        <is>
          <t>Firm</t>
        </is>
      </c>
      <c r="H69" t="inlineStr">
        <is>
          <t>PLN</t>
        </is>
      </c>
      <c r="I69" t="inlineStr">
        <is>
          <t>kWh/h</t>
        </is>
      </c>
      <c r="J69" t="n">
        <v>269</v>
      </c>
      <c r="K69" t="n">
        <v>5</v>
      </c>
      <c r="L69" t="n">
        <v>2022</v>
      </c>
    </row>
    <row r="70">
      <c r="A70" t="n">
        <v>69</v>
      </c>
      <c r="B70" t="inlineStr">
        <is>
          <t>GAZSYS</t>
        </is>
      </c>
      <c r="C70" t="inlineStr">
        <is>
          <t>GAZ-SYSTEM</t>
        </is>
      </c>
      <c r="D70" t="inlineStr">
        <is>
          <t>Entry</t>
        </is>
      </c>
      <c r="E70" t="inlineStr">
        <is>
          <t>21Z6035937275964</t>
        </is>
      </c>
      <c r="F70" t="inlineStr">
        <is>
          <t>Vyrava (SK&gt;PL)</t>
        </is>
      </c>
      <c r="G70" t="inlineStr">
        <is>
          <t>Firm</t>
        </is>
      </c>
      <c r="H70" t="inlineStr">
        <is>
          <t>PLN</t>
        </is>
      </c>
      <c r="I70" t="inlineStr">
        <is>
          <t>kWh/h</t>
        </is>
      </c>
      <c r="J70" t="n">
        <v>274</v>
      </c>
      <c r="K70" t="n">
        <v>5</v>
      </c>
      <c r="L70" t="n">
        <v>2022</v>
      </c>
    </row>
    <row r="71">
      <c r="A71" t="n">
        <v>70</v>
      </c>
      <c r="B71" t="inlineStr">
        <is>
          <t>GAZSYS</t>
        </is>
      </c>
      <c r="C71" t="inlineStr">
        <is>
          <t>GAZ-SYSTEM</t>
        </is>
      </c>
      <c r="D71" t="inlineStr">
        <is>
          <t>Exit</t>
        </is>
      </c>
      <c r="E71" t="inlineStr">
        <is>
          <t>21Z000000000239K</t>
        </is>
      </c>
      <c r="F71" t="inlineStr">
        <is>
          <t>Cieszyn (PL&gt;CZ)</t>
        </is>
      </c>
      <c r="G71" t="inlineStr">
        <is>
          <t>Firm</t>
        </is>
      </c>
      <c r="H71" t="inlineStr">
        <is>
          <t>PLN</t>
        </is>
      </c>
      <c r="I71" t="inlineStr">
        <is>
          <t>kWh/h</t>
        </is>
      </c>
      <c r="J71" t="n">
        <v>279</v>
      </c>
      <c r="K71" t="n">
        <v>5</v>
      </c>
      <c r="L71" t="n">
        <v>2022</v>
      </c>
    </row>
    <row r="72">
      <c r="A72" t="n">
        <v>71</v>
      </c>
      <c r="B72" t="inlineStr">
        <is>
          <t>GAZSYS</t>
        </is>
      </c>
      <c r="C72" t="inlineStr">
        <is>
          <t>GAZ-SYSTEM</t>
        </is>
      </c>
      <c r="D72" t="inlineStr">
        <is>
          <t>Exit</t>
        </is>
      </c>
      <c r="E72" t="inlineStr">
        <is>
          <t>21Z000000000508J</t>
        </is>
      </c>
      <c r="F72" t="inlineStr">
        <is>
          <t>GCP GAZ-SYSTEM/UA TSO (PL&gt;UA)</t>
        </is>
      </c>
      <c r="G72" t="inlineStr">
        <is>
          <t>Firm</t>
        </is>
      </c>
      <c r="H72" t="inlineStr">
        <is>
          <t>PLN</t>
        </is>
      </c>
      <c r="I72" t="inlineStr">
        <is>
          <t>kWh/h</t>
        </is>
      </c>
      <c r="J72" t="n">
        <v>284</v>
      </c>
      <c r="K72" t="n">
        <v>5</v>
      </c>
      <c r="L72" t="n">
        <v>2022</v>
      </c>
    </row>
    <row r="73">
      <c r="A73" t="n">
        <v>72</v>
      </c>
      <c r="B73" t="inlineStr">
        <is>
          <t>GAZSYS</t>
        </is>
      </c>
      <c r="C73" t="inlineStr">
        <is>
          <t>GAZ-SYSTEM</t>
        </is>
      </c>
      <c r="D73" t="inlineStr">
        <is>
          <t>Exit</t>
        </is>
      </c>
      <c r="E73" t="inlineStr">
        <is>
          <t>21Z6035937275964</t>
        </is>
      </c>
      <c r="F73" t="inlineStr">
        <is>
          <t>Vyrava (PL&gt;SK)</t>
        </is>
      </c>
      <c r="G73" t="inlineStr">
        <is>
          <t>Firm</t>
        </is>
      </c>
      <c r="H73" t="inlineStr">
        <is>
          <t>PLN</t>
        </is>
      </c>
      <c r="I73" t="inlineStr">
        <is>
          <t>kWh/h</t>
        </is>
      </c>
      <c r="J73" t="n">
        <v>289</v>
      </c>
      <c r="K73" t="n">
        <v>5</v>
      </c>
      <c r="L73" t="n">
        <v>2022</v>
      </c>
    </row>
    <row r="74">
      <c r="A74" t="n">
        <v>73</v>
      </c>
      <c r="B74" t="inlineStr">
        <is>
          <t>ICGB</t>
        </is>
      </c>
      <c r="C74" t="inlineStr">
        <is>
          <t>ICGB</t>
        </is>
      </c>
      <c r="D74" t="inlineStr">
        <is>
          <t>Entry</t>
        </is>
      </c>
      <c r="E74" t="inlineStr">
        <is>
          <t>21Z000000000472E</t>
        </is>
      </c>
      <c r="F74" t="inlineStr">
        <is>
          <t>Komotini (TAP&gt;ICGB)</t>
        </is>
      </c>
      <c r="G74" t="inlineStr">
        <is>
          <t>Firm</t>
        </is>
      </c>
      <c r="H74" t="inlineStr">
        <is>
          <t>EUR</t>
        </is>
      </c>
      <c r="I74" t="inlineStr">
        <is>
          <t>kWh/d</t>
        </is>
      </c>
      <c r="J74" t="n">
        <v>294</v>
      </c>
      <c r="K74" t="n">
        <v>3</v>
      </c>
      <c r="L74" t="n">
        <v>2022</v>
      </c>
    </row>
    <row r="75">
      <c r="A75" t="n">
        <v>74</v>
      </c>
      <c r="B75" t="inlineStr">
        <is>
          <t>ICGB</t>
        </is>
      </c>
      <c r="C75" t="inlineStr">
        <is>
          <t>ICGB</t>
        </is>
      </c>
      <c r="D75" t="inlineStr">
        <is>
          <t>Exit</t>
        </is>
      </c>
      <c r="E75" t="inlineStr">
        <is>
          <t>58Z-IP-00034-STZ</t>
        </is>
      </c>
      <c r="F75" t="inlineStr">
        <is>
          <t>Stara Zagora (ICGB&gt;BG)</t>
        </is>
      </c>
      <c r="G75" t="inlineStr">
        <is>
          <t>Firm</t>
        </is>
      </c>
      <c r="H75" t="inlineStr">
        <is>
          <t>EUR</t>
        </is>
      </c>
      <c r="I75" t="inlineStr">
        <is>
          <t>kWh/d</t>
        </is>
      </c>
      <c r="J75" t="n">
        <v>297</v>
      </c>
      <c r="K75" t="n">
        <v>3</v>
      </c>
      <c r="L75" t="n">
        <v>2022</v>
      </c>
    </row>
    <row r="76">
      <c r="A76" t="n">
        <v>75</v>
      </c>
      <c r="B76" t="inlineStr">
        <is>
          <t>NET4GAS</t>
        </is>
      </c>
      <c r="C76" t="inlineStr">
        <is>
          <t>NET4GAS</t>
        </is>
      </c>
      <c r="D76" t="inlineStr">
        <is>
          <t>Entry</t>
        </is>
      </c>
      <c r="E76" t="inlineStr">
        <is>
          <t>21Z000000000239K</t>
        </is>
      </c>
      <c r="F76" t="inlineStr">
        <is>
          <t>Cieszyn (PL&gt;CZ)</t>
        </is>
      </c>
      <c r="G76" t="inlineStr">
        <is>
          <t>Firm</t>
        </is>
      </c>
      <c r="H76" t="inlineStr">
        <is>
          <t>CZK</t>
        </is>
      </c>
      <c r="I76" t="inlineStr">
        <is>
          <t>kWh/h</t>
        </is>
      </c>
      <c r="J76" t="n">
        <v>300</v>
      </c>
      <c r="K76" t="n">
        <v>6</v>
      </c>
      <c r="L76" t="n">
        <v>2021</v>
      </c>
    </row>
    <row r="77">
      <c r="A77" t="n">
        <v>76</v>
      </c>
      <c r="B77" t="inlineStr">
        <is>
          <t>NET4GAS</t>
        </is>
      </c>
      <c r="C77" t="inlineStr">
        <is>
          <t>NET4GAS</t>
        </is>
      </c>
      <c r="D77" t="inlineStr">
        <is>
          <t>Entry</t>
        </is>
      </c>
      <c r="E77" t="inlineStr">
        <is>
          <t>21Z000000000061Z</t>
        </is>
      </c>
      <c r="F77" t="inlineStr">
        <is>
          <t>Lanžhot (SK&gt;CZ)</t>
        </is>
      </c>
      <c r="G77" t="inlineStr">
        <is>
          <t>Firm</t>
        </is>
      </c>
      <c r="H77" t="inlineStr">
        <is>
          <t>CZK</t>
        </is>
      </c>
      <c r="I77" t="inlineStr">
        <is>
          <t>kWh/h</t>
        </is>
      </c>
      <c r="J77" t="n">
        <v>306</v>
      </c>
      <c r="K77" t="n">
        <v>6</v>
      </c>
      <c r="L77" t="n">
        <v>2021</v>
      </c>
    </row>
    <row r="78">
      <c r="A78" t="n">
        <v>77</v>
      </c>
      <c r="B78" t="inlineStr">
        <is>
          <t>NET4GAS</t>
        </is>
      </c>
      <c r="C78" t="inlineStr">
        <is>
          <t>NET4GAS</t>
        </is>
      </c>
      <c r="D78" t="inlineStr">
        <is>
          <t>Entry</t>
        </is>
      </c>
      <c r="E78" t="inlineStr">
        <is>
          <t>21Z0000000004863</t>
        </is>
      </c>
      <c r="F78" t="inlineStr">
        <is>
          <t>VIP Brandov-GASPOOL (DE&gt;CZ)</t>
        </is>
      </c>
      <c r="G78" t="inlineStr">
        <is>
          <t>Firm</t>
        </is>
      </c>
      <c r="H78" t="inlineStr">
        <is>
          <t>CZK</t>
        </is>
      </c>
      <c r="I78" t="inlineStr">
        <is>
          <t>kWh/h</t>
        </is>
      </c>
      <c r="J78" t="n">
        <v>312</v>
      </c>
      <c r="K78" t="n">
        <v>6</v>
      </c>
      <c r="L78" t="n">
        <v>2021</v>
      </c>
    </row>
    <row r="79">
      <c r="A79" t="n">
        <v>78</v>
      </c>
      <c r="B79" t="inlineStr">
        <is>
          <t>NET4GAS</t>
        </is>
      </c>
      <c r="C79" t="inlineStr">
        <is>
          <t>NET4GAS</t>
        </is>
      </c>
      <c r="D79" t="inlineStr">
        <is>
          <t>Exit</t>
        </is>
      </c>
      <c r="E79" t="inlineStr">
        <is>
          <t>21Z000000000239K</t>
        </is>
      </c>
      <c r="F79" t="inlineStr">
        <is>
          <t>Cieszyn (CZ&gt;PL)</t>
        </is>
      </c>
      <c r="G79" t="inlineStr">
        <is>
          <t>Firm</t>
        </is>
      </c>
      <c r="H79" t="inlineStr">
        <is>
          <t>CZK</t>
        </is>
      </c>
      <c r="I79" t="inlineStr">
        <is>
          <t>kWh/h</t>
        </is>
      </c>
      <c r="J79" t="n">
        <v>318</v>
      </c>
      <c r="K79" t="n">
        <v>6</v>
      </c>
      <c r="L79" t="n">
        <v>2021</v>
      </c>
    </row>
    <row r="80">
      <c r="A80" t="n">
        <v>79</v>
      </c>
      <c r="B80" t="inlineStr">
        <is>
          <t>NET4GAS</t>
        </is>
      </c>
      <c r="C80" t="inlineStr">
        <is>
          <t>NET4GAS</t>
        </is>
      </c>
      <c r="D80" t="inlineStr">
        <is>
          <t>Exit</t>
        </is>
      </c>
      <c r="E80" t="inlineStr">
        <is>
          <t>21Z000000000061Z</t>
        </is>
      </c>
      <c r="F80" t="inlineStr">
        <is>
          <t>Lanžhot (CZ&gt;SK)</t>
        </is>
      </c>
      <c r="G80" t="inlineStr">
        <is>
          <t>Firm</t>
        </is>
      </c>
      <c r="H80" t="inlineStr">
        <is>
          <t>CZK</t>
        </is>
      </c>
      <c r="I80" t="inlineStr">
        <is>
          <t>kWh/h</t>
        </is>
      </c>
      <c r="J80" t="n">
        <v>324</v>
      </c>
      <c r="K80" t="n">
        <v>6</v>
      </c>
      <c r="L80" t="n">
        <v>2021</v>
      </c>
    </row>
    <row r="81">
      <c r="A81" t="n">
        <v>80</v>
      </c>
      <c r="B81" t="inlineStr">
        <is>
          <t>NET4GAS</t>
        </is>
      </c>
      <c r="C81" t="inlineStr">
        <is>
          <t>NET4GAS</t>
        </is>
      </c>
      <c r="D81" t="inlineStr">
        <is>
          <t>Exit</t>
        </is>
      </c>
      <c r="E81" t="inlineStr">
        <is>
          <t>21Z0000000004863</t>
        </is>
      </c>
      <c r="F81" t="inlineStr">
        <is>
          <t>VIP Brandov-GASPOOL (CZ&gt;DE)</t>
        </is>
      </c>
      <c r="G81" t="inlineStr">
        <is>
          <t>Firm</t>
        </is>
      </c>
      <c r="H81" t="inlineStr">
        <is>
          <t>CZK</t>
        </is>
      </c>
      <c r="I81" t="inlineStr">
        <is>
          <t>kWh/h</t>
        </is>
      </c>
      <c r="J81" t="n">
        <v>330</v>
      </c>
      <c r="K81" t="n">
        <v>6</v>
      </c>
      <c r="L81" t="n">
        <v>2021</v>
      </c>
    </row>
    <row r="82">
      <c r="A82" t="n">
        <v>81</v>
      </c>
      <c r="B82" t="inlineStr">
        <is>
          <t>OGE</t>
        </is>
      </c>
      <c r="C82" t="inlineStr">
        <is>
          <t>Open Grid Europe</t>
        </is>
      </c>
      <c r="D82" t="inlineStr">
        <is>
          <t>Entry</t>
        </is>
      </c>
      <c r="E82" t="inlineStr">
        <is>
          <t>21Z000000000490C</t>
        </is>
      </c>
      <c r="F82" t="inlineStr">
        <is>
          <t>VIP Oberkappel (AT&gt;DE)</t>
        </is>
      </c>
      <c r="G82" t="inlineStr">
        <is>
          <t>Firm</t>
        </is>
      </c>
      <c r="H82" t="inlineStr">
        <is>
          <t>EUR</t>
        </is>
      </c>
      <c r="I82" t="inlineStr">
        <is>
          <t>kWh/h</t>
        </is>
      </c>
      <c r="J82" t="n">
        <v>336</v>
      </c>
      <c r="K82" t="n">
        <v>6</v>
      </c>
      <c r="L82" t="n">
        <v>2021</v>
      </c>
    </row>
    <row r="83">
      <c r="A83" t="n">
        <v>82</v>
      </c>
      <c r="B83" t="inlineStr">
        <is>
          <t>OGE</t>
        </is>
      </c>
      <c r="C83" t="inlineStr">
        <is>
          <t>Open Grid Europe</t>
        </is>
      </c>
      <c r="D83" t="inlineStr">
        <is>
          <t>Exit</t>
        </is>
      </c>
      <c r="E83" t="inlineStr">
        <is>
          <t>21Z000000000490C</t>
        </is>
      </c>
      <c r="F83" t="inlineStr">
        <is>
          <t>VIP Oberkappel (DE&gt;AT)</t>
        </is>
      </c>
      <c r="G83" t="inlineStr">
        <is>
          <t>Firm</t>
        </is>
      </c>
      <c r="H83" t="inlineStr">
        <is>
          <t>EUR</t>
        </is>
      </c>
      <c r="I83" t="inlineStr">
        <is>
          <t>kWh/h</t>
        </is>
      </c>
      <c r="J83" t="n">
        <v>342</v>
      </c>
      <c r="K83" t="n">
        <v>6</v>
      </c>
      <c r="L83" t="n">
        <v>2021</v>
      </c>
    </row>
    <row r="84">
      <c r="A84" t="n">
        <v>83</v>
      </c>
      <c r="B84" t="inlineStr">
        <is>
          <t>plinacr</t>
        </is>
      </c>
      <c r="C84" t="inlineStr">
        <is>
          <t>Plinacro</t>
        </is>
      </c>
      <c r="D84" t="inlineStr">
        <is>
          <t>Entry</t>
        </is>
      </c>
      <c r="E84" t="inlineStr">
        <is>
          <t>21Z000000000249H</t>
        </is>
      </c>
      <c r="F84" t="inlineStr">
        <is>
          <t>Drávaszerdahely (HU&gt;CR)</t>
        </is>
      </c>
      <c r="G84" t="inlineStr">
        <is>
          <t>Firm</t>
        </is>
      </c>
      <c r="H84" t="inlineStr">
        <is>
          <t>EUR</t>
        </is>
      </c>
      <c r="I84" t="inlineStr">
        <is>
          <t>kWh/d</t>
        </is>
      </c>
      <c r="J84" t="n">
        <v>348</v>
      </c>
      <c r="K84" t="n">
        <v>6</v>
      </c>
      <c r="L84" t="n">
        <v>2024</v>
      </c>
    </row>
    <row r="85">
      <c r="A85" t="n">
        <v>84</v>
      </c>
      <c r="B85" t="inlineStr">
        <is>
          <t>plinacr</t>
        </is>
      </c>
      <c r="C85" t="inlineStr">
        <is>
          <t>Plinacro</t>
        </is>
      </c>
      <c r="D85" t="inlineStr">
        <is>
          <t>Entry</t>
        </is>
      </c>
      <c r="E85" t="inlineStr">
        <is>
          <t>21Z000000000128T</t>
        </is>
      </c>
      <c r="F85" t="inlineStr">
        <is>
          <t>Rogatec (SI&gt;CR)</t>
        </is>
      </c>
      <c r="G85" t="inlineStr">
        <is>
          <t>Firm</t>
        </is>
      </c>
      <c r="H85" t="inlineStr">
        <is>
          <t>EUR</t>
        </is>
      </c>
      <c r="I85" t="inlineStr">
        <is>
          <t>kWh/d</t>
        </is>
      </c>
      <c r="J85" t="n">
        <v>354</v>
      </c>
      <c r="K85" t="n">
        <v>6</v>
      </c>
      <c r="L85" t="n">
        <v>2024</v>
      </c>
    </row>
    <row r="86">
      <c r="A86" t="n">
        <v>85</v>
      </c>
      <c r="B86" t="inlineStr">
        <is>
          <t>plinacr</t>
        </is>
      </c>
      <c r="C86" t="inlineStr">
        <is>
          <t>Plinacro</t>
        </is>
      </c>
      <c r="D86" t="inlineStr">
        <is>
          <t>Exit</t>
        </is>
      </c>
      <c r="E86" t="inlineStr">
        <is>
          <t>21Z000000000249H</t>
        </is>
      </c>
      <c r="F86" t="inlineStr">
        <is>
          <t>Drávaszerdahely (CR&gt;HU)</t>
        </is>
      </c>
      <c r="G86" t="inlineStr">
        <is>
          <t>Firm</t>
        </is>
      </c>
      <c r="H86" t="inlineStr">
        <is>
          <t>EUR</t>
        </is>
      </c>
      <c r="I86" t="inlineStr">
        <is>
          <t>kWh/d</t>
        </is>
      </c>
      <c r="J86" t="n">
        <v>360</v>
      </c>
      <c r="K86" t="n">
        <v>6</v>
      </c>
      <c r="L86" t="n">
        <v>2024</v>
      </c>
    </row>
    <row r="87">
      <c r="A87" t="n">
        <v>86</v>
      </c>
      <c r="B87" t="inlineStr">
        <is>
          <t>plinacr</t>
        </is>
      </c>
      <c r="C87" t="inlineStr">
        <is>
          <t>Plinacro</t>
        </is>
      </c>
      <c r="D87" t="inlineStr">
        <is>
          <t>Exit</t>
        </is>
      </c>
      <c r="E87" t="inlineStr">
        <is>
          <t>21Z000000000128T</t>
        </is>
      </c>
      <c r="F87" t="inlineStr">
        <is>
          <t>Rogatec (CR&gt;SI)</t>
        </is>
      </c>
      <c r="G87" t="inlineStr">
        <is>
          <t>Firm</t>
        </is>
      </c>
      <c r="H87" t="inlineStr">
        <is>
          <t>EUR</t>
        </is>
      </c>
      <c r="I87" t="inlineStr">
        <is>
          <t>kWh/d</t>
        </is>
      </c>
      <c r="J87" t="n">
        <v>366</v>
      </c>
      <c r="K87" t="n">
        <v>6</v>
      </c>
      <c r="L87" t="n">
        <v>2024</v>
      </c>
    </row>
    <row r="88">
      <c r="A88" t="n">
        <v>87</v>
      </c>
      <c r="B88" t="inlineStr">
        <is>
          <t>Plinovo</t>
        </is>
      </c>
      <c r="C88" t="inlineStr">
        <is>
          <t>Plinovodi</t>
        </is>
      </c>
      <c r="D88" t="inlineStr">
        <is>
          <t>Entry</t>
        </is>
      </c>
      <c r="E88" t="inlineStr">
        <is>
          <t>21Z000000000044Z</t>
        </is>
      </c>
      <c r="F88" t="inlineStr">
        <is>
          <t>Gorizia/Šempeter (IT&gt;SI)</t>
        </is>
      </c>
      <c r="G88" t="inlineStr">
        <is>
          <t>Firm</t>
        </is>
      </c>
      <c r="H88" t="inlineStr">
        <is>
          <t>EUR</t>
        </is>
      </c>
      <c r="I88" t="inlineStr">
        <is>
          <t>kWh/h</t>
        </is>
      </c>
      <c r="J88" t="n">
        <v>372</v>
      </c>
      <c r="K88" t="n">
        <v>6</v>
      </c>
      <c r="L88" t="n">
        <v>2021</v>
      </c>
    </row>
    <row r="89">
      <c r="A89" t="n">
        <v>88</v>
      </c>
      <c r="B89" t="inlineStr">
        <is>
          <t>Plinovo</t>
        </is>
      </c>
      <c r="C89" t="inlineStr">
        <is>
          <t>Plinovodi</t>
        </is>
      </c>
      <c r="D89" t="inlineStr">
        <is>
          <t>Entry</t>
        </is>
      </c>
      <c r="E89" t="inlineStr">
        <is>
          <t>21Z0000000000058</t>
        </is>
      </c>
      <c r="F89" t="inlineStr">
        <is>
          <t>Murfeld/Ceršak (AT&gt;SI)</t>
        </is>
      </c>
      <c r="G89" t="inlineStr">
        <is>
          <t>Firm</t>
        </is>
      </c>
      <c r="H89" t="inlineStr">
        <is>
          <t>EUR</t>
        </is>
      </c>
      <c r="I89" t="inlineStr">
        <is>
          <t>kWh/h</t>
        </is>
      </c>
      <c r="J89" t="n">
        <v>378</v>
      </c>
      <c r="K89" t="n">
        <v>6</v>
      </c>
      <c r="L89" t="n">
        <v>2021</v>
      </c>
    </row>
    <row r="90">
      <c r="A90" t="n">
        <v>89</v>
      </c>
      <c r="B90" t="inlineStr">
        <is>
          <t>Plinovo</t>
        </is>
      </c>
      <c r="C90" t="inlineStr">
        <is>
          <t>Plinovodi</t>
        </is>
      </c>
      <c r="D90" t="inlineStr">
        <is>
          <t>Entry</t>
        </is>
      </c>
      <c r="E90" t="inlineStr">
        <is>
          <t>21Z000000000128T</t>
        </is>
      </c>
      <c r="F90" t="inlineStr">
        <is>
          <t>Rogatec (CR&gt;SI)</t>
        </is>
      </c>
      <c r="G90" t="inlineStr">
        <is>
          <t>Firm</t>
        </is>
      </c>
      <c r="H90" t="inlineStr">
        <is>
          <t>EUR</t>
        </is>
      </c>
      <c r="I90" t="inlineStr">
        <is>
          <t>kWh/h</t>
        </is>
      </c>
      <c r="J90" t="n">
        <v>384</v>
      </c>
      <c r="K90" t="n">
        <v>6</v>
      </c>
      <c r="L90" t="n">
        <v>2021</v>
      </c>
    </row>
    <row r="91">
      <c r="A91" t="n">
        <v>90</v>
      </c>
      <c r="B91" t="inlineStr">
        <is>
          <t>Plinovo</t>
        </is>
      </c>
      <c r="C91" t="inlineStr">
        <is>
          <t>Plinovodi</t>
        </is>
      </c>
      <c r="D91" t="inlineStr">
        <is>
          <t>Exit</t>
        </is>
      </c>
      <c r="E91" t="inlineStr">
        <is>
          <t>21Z000000000044Z</t>
        </is>
      </c>
      <c r="F91" t="inlineStr">
        <is>
          <t>Gorizia/Šempeter (SI&gt;IT)</t>
        </is>
      </c>
      <c r="G91" t="inlineStr">
        <is>
          <t>Firm</t>
        </is>
      </c>
      <c r="H91" t="inlineStr">
        <is>
          <t>EUR</t>
        </is>
      </c>
      <c r="I91" t="inlineStr">
        <is>
          <t>kWh/h</t>
        </is>
      </c>
      <c r="J91" t="n">
        <v>390</v>
      </c>
      <c r="K91" t="n">
        <v>6</v>
      </c>
      <c r="L91" t="n">
        <v>2021</v>
      </c>
    </row>
    <row r="92">
      <c r="A92" t="n">
        <v>91</v>
      </c>
      <c r="B92" t="inlineStr">
        <is>
          <t>Plinovo</t>
        </is>
      </c>
      <c r="C92" t="inlineStr">
        <is>
          <t>Plinovodi</t>
        </is>
      </c>
      <c r="D92" t="inlineStr">
        <is>
          <t>Exit</t>
        </is>
      </c>
      <c r="E92" t="inlineStr">
        <is>
          <t>21Z0000000000058</t>
        </is>
      </c>
      <c r="F92" t="inlineStr">
        <is>
          <t>Murfeld/Ceršak (SI&gt;AT)</t>
        </is>
      </c>
      <c r="G92" t="inlineStr">
        <is>
          <t>Interruptible</t>
        </is>
      </c>
      <c r="H92" t="inlineStr">
        <is>
          <t>EUR</t>
        </is>
      </c>
      <c r="I92" t="inlineStr">
        <is>
          <t>kWh/h</t>
        </is>
      </c>
      <c r="J92" t="n">
        <v>396</v>
      </c>
      <c r="K92" t="n">
        <v>6</v>
      </c>
      <c r="L92" t="n">
        <v>2021</v>
      </c>
    </row>
    <row r="93">
      <c r="A93" t="n">
        <v>92</v>
      </c>
      <c r="B93" t="inlineStr">
        <is>
          <t>Plinovo</t>
        </is>
      </c>
      <c r="C93" t="inlineStr">
        <is>
          <t>Plinovodi</t>
        </is>
      </c>
      <c r="D93" t="inlineStr">
        <is>
          <t>Exit</t>
        </is>
      </c>
      <c r="E93" t="inlineStr">
        <is>
          <t>21Z000000000128T</t>
        </is>
      </c>
      <c r="F93" t="inlineStr">
        <is>
          <t>Rogatec (SI&gt;CR)</t>
        </is>
      </c>
      <c r="G93" t="inlineStr">
        <is>
          <t>Firm</t>
        </is>
      </c>
      <c r="H93" t="inlineStr">
        <is>
          <t>EUR</t>
        </is>
      </c>
      <c r="I93" t="inlineStr">
        <is>
          <t>kWh/h</t>
        </is>
      </c>
      <c r="J93" t="n">
        <v>402</v>
      </c>
      <c r="K93" t="n">
        <v>6</v>
      </c>
      <c r="L93" t="n">
        <v>2021</v>
      </c>
    </row>
    <row r="94">
      <c r="A94" t="n">
        <v>93</v>
      </c>
      <c r="B94" t="inlineStr">
        <is>
          <t>snam</t>
        </is>
      </c>
      <c r="C94" t="inlineStr">
        <is>
          <t>Snam Rete Gas</t>
        </is>
      </c>
      <c r="D94" t="inlineStr">
        <is>
          <t>Entry</t>
        </is>
      </c>
      <c r="E94" t="inlineStr">
        <is>
          <t>21Z000000000044Z</t>
        </is>
      </c>
      <c r="F94" t="inlineStr">
        <is>
          <t>Gorizia/Šempeter (SI&gt;IT)</t>
        </is>
      </c>
      <c r="G94" t="inlineStr">
        <is>
          <t>Firm</t>
        </is>
      </c>
      <c r="H94" t="inlineStr">
        <is>
          <t>EUR</t>
        </is>
      </c>
      <c r="I94" t="inlineStr">
        <is>
          <t>kWh/h</t>
        </is>
      </c>
      <c r="J94" t="n">
        <v>408</v>
      </c>
      <c r="K94" t="n">
        <v>5</v>
      </c>
      <c r="L94" t="n">
        <v>2021</v>
      </c>
    </row>
    <row r="95">
      <c r="A95" t="n">
        <v>94</v>
      </c>
      <c r="B95" t="inlineStr">
        <is>
          <t>snam</t>
        </is>
      </c>
      <c r="C95" t="inlineStr">
        <is>
          <t>Snam Rete Gas</t>
        </is>
      </c>
      <c r="D95" t="inlineStr">
        <is>
          <t>Entry</t>
        </is>
      </c>
      <c r="E95" t="inlineStr">
        <is>
          <t>21Z000000000080V</t>
        </is>
      </c>
      <c r="F95" t="inlineStr">
        <is>
          <t>Mazara del Vallo (LY&gt;IT)</t>
        </is>
      </c>
      <c r="G95" t="inlineStr">
        <is>
          <t>Firm</t>
        </is>
      </c>
      <c r="H95" t="inlineStr">
        <is>
          <t>EUR</t>
        </is>
      </c>
      <c r="I95" t="inlineStr">
        <is>
          <t>kWh/h</t>
        </is>
      </c>
      <c r="J95" t="n">
        <v>413</v>
      </c>
      <c r="K95" t="n">
        <v>5</v>
      </c>
      <c r="L95" t="n">
        <v>2021</v>
      </c>
    </row>
    <row r="96">
      <c r="A96" t="n">
        <v>95</v>
      </c>
      <c r="B96" t="inlineStr">
        <is>
          <t>snam</t>
        </is>
      </c>
      <c r="C96" t="inlineStr">
        <is>
          <t>Snam Rete Gas</t>
        </is>
      </c>
      <c r="D96" t="inlineStr">
        <is>
          <t>Entry</t>
        </is>
      </c>
      <c r="E96" t="inlineStr">
        <is>
          <t>21Z000000000004A</t>
        </is>
      </c>
      <c r="F96" t="inlineStr">
        <is>
          <t>Tarvisio/Arnoldstein (AT&gt;IT)</t>
        </is>
      </c>
      <c r="G96" t="inlineStr">
        <is>
          <t>Firm</t>
        </is>
      </c>
      <c r="H96" t="inlineStr">
        <is>
          <t>EUR</t>
        </is>
      </c>
      <c r="I96" t="inlineStr">
        <is>
          <t>kWh/h</t>
        </is>
      </c>
      <c r="J96" t="n">
        <v>418</v>
      </c>
      <c r="K96" t="n">
        <v>5</v>
      </c>
      <c r="L96" t="n">
        <v>2021</v>
      </c>
    </row>
    <row r="97">
      <c r="A97" t="n">
        <v>96</v>
      </c>
      <c r="B97" t="inlineStr">
        <is>
          <t>snam</t>
        </is>
      </c>
      <c r="C97" t="inlineStr">
        <is>
          <t>Snam Rete Gas</t>
        </is>
      </c>
      <c r="D97" t="inlineStr">
        <is>
          <t>Exit</t>
        </is>
      </c>
      <c r="E97" t="inlineStr">
        <is>
          <t>21Z000000000044Z</t>
        </is>
      </c>
      <c r="F97" t="inlineStr">
        <is>
          <t>Gorizia/Šempeter (IT&gt;SI)</t>
        </is>
      </c>
      <c r="G97" t="inlineStr">
        <is>
          <t>Firm</t>
        </is>
      </c>
      <c r="H97" t="inlineStr">
        <is>
          <t>EUR</t>
        </is>
      </c>
      <c r="I97" t="inlineStr">
        <is>
          <t>kWh/h</t>
        </is>
      </c>
      <c r="J97" t="n">
        <v>423</v>
      </c>
      <c r="K97" t="n">
        <v>5</v>
      </c>
      <c r="L97" t="n">
        <v>2021</v>
      </c>
    </row>
    <row r="98">
      <c r="A98" t="n">
        <v>97</v>
      </c>
      <c r="B98" t="inlineStr">
        <is>
          <t>snam</t>
        </is>
      </c>
      <c r="C98" t="inlineStr">
        <is>
          <t>Snam Rete Gas</t>
        </is>
      </c>
      <c r="D98" t="inlineStr">
        <is>
          <t>Exit</t>
        </is>
      </c>
      <c r="E98" t="inlineStr">
        <is>
          <t>21Z000000000004A</t>
        </is>
      </c>
      <c r="F98" t="inlineStr">
        <is>
          <t>Tarvisio/Arnoldstein (IT&gt;AT)</t>
        </is>
      </c>
      <c r="G98" t="inlineStr">
        <is>
          <t>Firm</t>
        </is>
      </c>
      <c r="H98" t="inlineStr">
        <is>
          <t>EUR</t>
        </is>
      </c>
      <c r="I98" t="inlineStr">
        <is>
          <t>kWh/h</t>
        </is>
      </c>
      <c r="J98" t="n">
        <v>428</v>
      </c>
      <c r="K98" t="n">
        <v>5</v>
      </c>
      <c r="L98" t="n">
        <v>2021</v>
      </c>
    </row>
    <row r="99">
      <c r="A99" t="n">
        <v>98</v>
      </c>
      <c r="B99" t="inlineStr">
        <is>
          <t>TAP</t>
        </is>
      </c>
      <c r="C99" t="inlineStr">
        <is>
          <t>Trans Adriatic Pipeline</t>
        </is>
      </c>
      <c r="D99" t="inlineStr">
        <is>
          <t>Entry</t>
        </is>
      </c>
      <c r="E99" t="inlineStr">
        <is>
          <t>21Z0000000004758</t>
        </is>
      </c>
      <c r="F99" t="inlineStr">
        <is>
          <t>Kipoi (TR&gt;TAP)</t>
        </is>
      </c>
      <c r="G99" t="inlineStr">
        <is>
          <t>Firm</t>
        </is>
      </c>
      <c r="H99" t="inlineStr">
        <is>
          <t>EUR</t>
        </is>
      </c>
      <c r="I99" t="inlineStr">
        <is>
          <t>kWh/d</t>
        </is>
      </c>
      <c r="J99" t="n">
        <v>433</v>
      </c>
      <c r="K99" t="n">
        <v>3</v>
      </c>
      <c r="L99" t="n">
        <v>2022</v>
      </c>
    </row>
    <row r="100">
      <c r="A100" t="n">
        <v>99</v>
      </c>
      <c r="B100" t="inlineStr">
        <is>
          <t>TAP</t>
        </is>
      </c>
      <c r="C100" t="inlineStr">
        <is>
          <t>Trans Adriatic Pipeline</t>
        </is>
      </c>
      <c r="D100" t="inlineStr">
        <is>
          <t>Exit</t>
        </is>
      </c>
      <c r="E100" t="inlineStr">
        <is>
          <t>21Z000000000472E</t>
        </is>
      </c>
      <c r="F100" t="inlineStr">
        <is>
          <t>Komotini (TAP&gt;ICGB)</t>
        </is>
      </c>
      <c r="G100" t="inlineStr">
        <is>
          <t>Firm</t>
        </is>
      </c>
      <c r="H100" t="inlineStr">
        <is>
          <t>EUR</t>
        </is>
      </c>
      <c r="I100" t="inlineStr">
        <is>
          <t>kWh/d</t>
        </is>
      </c>
      <c r="J100" t="n">
        <v>436</v>
      </c>
      <c r="K100" t="n">
        <v>3</v>
      </c>
      <c r="L100" t="n">
        <v>2022</v>
      </c>
    </row>
    <row r="101">
      <c r="A101" t="n">
        <v>100</v>
      </c>
      <c r="B101" t="inlineStr">
        <is>
          <t>TAP</t>
        </is>
      </c>
      <c r="C101" t="inlineStr">
        <is>
          <t>Trans Adriatic Pipeline</t>
        </is>
      </c>
      <c r="D101" t="inlineStr">
        <is>
          <t>Exit</t>
        </is>
      </c>
      <c r="E101" t="inlineStr">
        <is>
          <t>21Z000000000474A</t>
        </is>
      </c>
      <c r="F101" t="inlineStr">
        <is>
          <t>Melendugno (TAP&gt;IT)</t>
        </is>
      </c>
      <c r="G101" t="inlineStr">
        <is>
          <t>Firm</t>
        </is>
      </c>
      <c r="H101" t="inlineStr">
        <is>
          <t>EUR</t>
        </is>
      </c>
      <c r="I101" t="inlineStr">
        <is>
          <t>kWh/d</t>
        </is>
      </c>
      <c r="J101" t="n">
        <v>439</v>
      </c>
      <c r="K101" t="n">
        <v>3</v>
      </c>
      <c r="L101" t="n">
        <v>2022</v>
      </c>
    </row>
    <row r="102">
      <c r="A102" t="n">
        <v>101</v>
      </c>
      <c r="B102" t="inlineStr">
        <is>
          <t>TAP</t>
        </is>
      </c>
      <c r="C102" t="inlineStr">
        <is>
          <t>Trans Adriatic Pipeline</t>
        </is>
      </c>
      <c r="D102" t="inlineStr">
        <is>
          <t>Exit</t>
        </is>
      </c>
      <c r="E102" t="inlineStr">
        <is>
          <t>21Z000000000473C</t>
        </is>
      </c>
      <c r="F102" t="inlineStr">
        <is>
          <t>Nea Mesimvria (TAP&gt;GR)</t>
        </is>
      </c>
      <c r="G102" t="inlineStr">
        <is>
          <t>Firm</t>
        </is>
      </c>
      <c r="H102" t="inlineStr">
        <is>
          <t>EUR</t>
        </is>
      </c>
      <c r="I102" t="inlineStr">
        <is>
          <t>kWh/d</t>
        </is>
      </c>
      <c r="J102" t="n">
        <v>442</v>
      </c>
      <c r="K102" t="n">
        <v>3</v>
      </c>
      <c r="L102" t="n">
        <v>2022</v>
      </c>
    </row>
    <row r="103">
      <c r="A103" t="n">
        <v>102</v>
      </c>
      <c r="B103" t="inlineStr">
        <is>
          <t>TAG</t>
        </is>
      </c>
      <c r="C103" t="inlineStr">
        <is>
          <t>Trans Austria Gasleitung</t>
        </is>
      </c>
      <c r="D103" t="inlineStr">
        <is>
          <t>Entry</t>
        </is>
      </c>
      <c r="E103" t="inlineStr">
        <is>
          <t>21Z000000000004A</t>
        </is>
      </c>
      <c r="F103" t="inlineStr">
        <is>
          <t>Tarvisio/Arnoldstein (IT&gt;AT)</t>
        </is>
      </c>
      <c r="G103" t="inlineStr">
        <is>
          <t>Firm</t>
        </is>
      </c>
      <c r="H103" t="inlineStr">
        <is>
          <t>EUR</t>
        </is>
      </c>
      <c r="I103" t="inlineStr">
        <is>
          <t>kWh/h</t>
        </is>
      </c>
      <c r="J103" t="n">
        <v>445</v>
      </c>
      <c r="K103" t="n">
        <v>4</v>
      </c>
      <c r="L103" t="n">
        <v>2020</v>
      </c>
    </row>
    <row r="104">
      <c r="A104" t="n">
        <v>103</v>
      </c>
      <c r="B104" t="inlineStr">
        <is>
          <t>TAG</t>
        </is>
      </c>
      <c r="C104" t="inlineStr">
        <is>
          <t>Trans Austria Gasleitung</t>
        </is>
      </c>
      <c r="D104" t="inlineStr">
        <is>
          <t>Exit</t>
        </is>
      </c>
      <c r="E104" t="inlineStr">
        <is>
          <t>21Z000000000004A</t>
        </is>
      </c>
      <c r="F104" t="inlineStr">
        <is>
          <t>Tarvisio/Arnoldstein (AT&gt;IT)</t>
        </is>
      </c>
      <c r="G104" t="inlineStr">
        <is>
          <t>Firm</t>
        </is>
      </c>
      <c r="H104" t="inlineStr">
        <is>
          <t>EUR</t>
        </is>
      </c>
      <c r="I104" t="inlineStr">
        <is>
          <t>kWh/h</t>
        </is>
      </c>
      <c r="J104" t="n">
        <v>449</v>
      </c>
      <c r="K104" t="n">
        <v>4</v>
      </c>
      <c r="L104" t="n">
        <v>2020</v>
      </c>
    </row>
    <row r="105">
      <c r="A105" t="n">
        <v>104</v>
      </c>
      <c r="B105" t="inlineStr">
        <is>
          <t>TRANSGA</t>
        </is>
      </c>
      <c r="C105" t="inlineStr">
        <is>
          <t>Transgaz</t>
        </is>
      </c>
      <c r="D105" t="inlineStr">
        <is>
          <t>Entry</t>
        </is>
      </c>
      <c r="E105" t="inlineStr">
        <is>
          <t>21Z000000000236Q</t>
        </is>
      </c>
      <c r="F105" t="inlineStr">
        <is>
          <t>Csanádpalota (HU&gt;RO)</t>
        </is>
      </c>
      <c r="G105" t="inlineStr">
        <is>
          <t>Firm</t>
        </is>
      </c>
      <c r="H105" t="inlineStr">
        <is>
          <t>RON</t>
        </is>
      </c>
      <c r="I105" t="inlineStr">
        <is>
          <t>kWh/h</t>
        </is>
      </c>
      <c r="J105" t="n">
        <v>453</v>
      </c>
      <c r="K105" t="n">
        <v>3</v>
      </c>
      <c r="L105" t="n">
        <v>2024</v>
      </c>
    </row>
    <row r="106">
      <c r="A106" t="n">
        <v>105</v>
      </c>
      <c r="B106" t="inlineStr">
        <is>
          <t>TRANSGA</t>
        </is>
      </c>
      <c r="C106" t="inlineStr">
        <is>
          <t>Transgaz</t>
        </is>
      </c>
      <c r="D106" t="inlineStr">
        <is>
          <t>Entry</t>
        </is>
      </c>
      <c r="E106" t="inlineStr">
        <is>
          <t>21Z000000000159I</t>
        </is>
      </c>
      <c r="F106" t="inlineStr">
        <is>
          <t>Negru Voda 1/Kardam (BG&gt;RO)</t>
        </is>
      </c>
      <c r="G106" t="inlineStr">
        <is>
          <t>Firm</t>
        </is>
      </c>
      <c r="H106" t="inlineStr">
        <is>
          <t>RON</t>
        </is>
      </c>
      <c r="I106" t="inlineStr">
        <is>
          <t>kWh/h</t>
        </is>
      </c>
      <c r="J106" t="n">
        <v>456</v>
      </c>
      <c r="K106" t="n">
        <v>3</v>
      </c>
      <c r="L106" t="n">
        <v>2024</v>
      </c>
    </row>
    <row r="107">
      <c r="A107" t="n">
        <v>106</v>
      </c>
      <c r="B107" t="inlineStr">
        <is>
          <t>TRANSGA</t>
        </is>
      </c>
      <c r="C107" t="inlineStr">
        <is>
          <t>Transgaz</t>
        </is>
      </c>
      <c r="D107" t="inlineStr">
        <is>
          <t>Entry</t>
        </is>
      </c>
      <c r="E107" t="inlineStr">
        <is>
          <t>21Z0000000002798</t>
        </is>
      </c>
      <c r="F107" t="inlineStr">
        <is>
          <t>Ruse/Giurgiu (BG&gt;RO)</t>
        </is>
      </c>
      <c r="G107" t="inlineStr">
        <is>
          <t>Firm</t>
        </is>
      </c>
      <c r="H107" t="inlineStr">
        <is>
          <t>RON</t>
        </is>
      </c>
      <c r="I107" t="inlineStr">
        <is>
          <t>kWh/h</t>
        </is>
      </c>
      <c r="J107" t="n">
        <v>459</v>
      </c>
      <c r="K107" t="n">
        <v>3</v>
      </c>
      <c r="L107" t="n">
        <v>2024</v>
      </c>
    </row>
    <row r="108">
      <c r="A108" t="n">
        <v>107</v>
      </c>
      <c r="B108" t="inlineStr">
        <is>
          <t>TRANSGA</t>
        </is>
      </c>
      <c r="C108" t="inlineStr">
        <is>
          <t>Transgaz</t>
        </is>
      </c>
      <c r="D108" t="inlineStr">
        <is>
          <t>Exit</t>
        </is>
      </c>
      <c r="E108" t="inlineStr">
        <is>
          <t>21Z000000000236Q</t>
        </is>
      </c>
      <c r="F108" t="inlineStr">
        <is>
          <t>Csanádpalota (RO&gt;HU)</t>
        </is>
      </c>
      <c r="G108" t="inlineStr">
        <is>
          <t>Firm</t>
        </is>
      </c>
      <c r="H108" t="inlineStr">
        <is>
          <t>RON</t>
        </is>
      </c>
      <c r="I108" t="inlineStr">
        <is>
          <t>kWh/h</t>
        </is>
      </c>
      <c r="J108" t="n">
        <v>462</v>
      </c>
      <c r="K108" t="n">
        <v>3</v>
      </c>
      <c r="L108" t="n">
        <v>2024</v>
      </c>
    </row>
    <row r="109">
      <c r="A109" t="n">
        <v>108</v>
      </c>
      <c r="B109" t="inlineStr">
        <is>
          <t>TRANSGA</t>
        </is>
      </c>
      <c r="C109" t="inlineStr">
        <is>
          <t>Transgaz</t>
        </is>
      </c>
      <c r="D109" t="inlineStr">
        <is>
          <t>Exit</t>
        </is>
      </c>
      <c r="E109" t="inlineStr">
        <is>
          <t>21Z000000000159I</t>
        </is>
      </c>
      <c r="F109" t="inlineStr">
        <is>
          <t>Negru Voda 1/Kardam (RO&gt;BG)</t>
        </is>
      </c>
      <c r="G109" t="inlineStr">
        <is>
          <t>Firm</t>
        </is>
      </c>
      <c r="H109" t="inlineStr">
        <is>
          <t>RON</t>
        </is>
      </c>
      <c r="I109" t="inlineStr">
        <is>
          <t>kWh/h</t>
        </is>
      </c>
      <c r="J109" t="n">
        <v>465</v>
      </c>
      <c r="K109" t="n">
        <v>3</v>
      </c>
      <c r="L109" t="n">
        <v>2024</v>
      </c>
    </row>
    <row r="110">
      <c r="A110" t="n">
        <v>109</v>
      </c>
      <c r="B110" t="inlineStr">
        <is>
          <t>TRANSGA</t>
        </is>
      </c>
      <c r="C110" t="inlineStr">
        <is>
          <t>Transgaz</t>
        </is>
      </c>
      <c r="D110" t="inlineStr">
        <is>
          <t>Exit</t>
        </is>
      </c>
      <c r="E110" t="inlineStr">
        <is>
          <t>21Z0000000002798</t>
        </is>
      </c>
      <c r="F110" t="inlineStr">
        <is>
          <t>Ruse/Giurgiu (RO&gt;BG)</t>
        </is>
      </c>
      <c r="G110" t="inlineStr">
        <is>
          <t>Firm</t>
        </is>
      </c>
      <c r="H110" t="inlineStr">
        <is>
          <t>RON</t>
        </is>
      </c>
      <c r="I110" t="inlineStr">
        <is>
          <t>kWh/h</t>
        </is>
      </c>
      <c r="J110" t="n">
        <v>468</v>
      </c>
      <c r="K110" t="n">
        <v>3</v>
      </c>
      <c r="L110" t="n">
        <v>2024</v>
      </c>
    </row>
    <row r="111">
      <c r="A111" t="n">
        <v>110</v>
      </c>
      <c r="B111" t="inlineStr">
        <is>
          <t>DESFA</t>
        </is>
      </c>
      <c r="C111" t="inlineStr">
        <is>
          <t>DESFA</t>
        </is>
      </c>
      <c r="D111" t="inlineStr">
        <is>
          <t>Entry</t>
        </is>
      </c>
      <c r="E111" t="inlineStr">
        <is>
          <t>21Z0000000000422</t>
        </is>
      </c>
      <c r="F111" t="inlineStr">
        <is>
          <t>Agia Triada (LNG&gt;GR)</t>
        </is>
      </c>
      <c r="G111" t="inlineStr">
        <is>
          <t>Firm</t>
        </is>
      </c>
      <c r="H111" t="inlineStr">
        <is>
          <t>EUR</t>
        </is>
      </c>
      <c r="I111" t="inlineStr">
        <is>
          <t>kWh/h</t>
        </is>
      </c>
      <c r="J111" t="n">
        <v>471</v>
      </c>
      <c r="K111" t="n">
        <v>2</v>
      </c>
      <c r="L111" t="n">
        <v>2025</v>
      </c>
    </row>
    <row r="112">
      <c r="A112" t="n">
        <v>111</v>
      </c>
      <c r="B112" t="inlineStr">
        <is>
          <t>DESFA</t>
        </is>
      </c>
      <c r="C112" t="inlineStr">
        <is>
          <t>DESFA</t>
        </is>
      </c>
      <c r="D112" t="inlineStr">
        <is>
          <t>Entry</t>
        </is>
      </c>
      <c r="E112" t="inlineStr">
        <is>
          <t>21Z000000000540N</t>
        </is>
      </c>
      <c r="F112" t="inlineStr">
        <is>
          <t>Amfitriti (LNG&gt;GR)</t>
        </is>
      </c>
      <c r="G112" t="inlineStr">
        <is>
          <t>Firm</t>
        </is>
      </c>
      <c r="H112" t="inlineStr">
        <is>
          <t>EUR</t>
        </is>
      </c>
      <c r="I112" t="inlineStr">
        <is>
          <t>kWh/h</t>
        </is>
      </c>
      <c r="J112" t="n">
        <v>473</v>
      </c>
      <c r="K112" t="n">
        <v>2</v>
      </c>
      <c r="L112" t="n">
        <v>2025</v>
      </c>
    </row>
    <row r="113">
      <c r="A113" t="n">
        <v>112</v>
      </c>
      <c r="B113" t="inlineStr">
        <is>
          <t>Gasunie</t>
        </is>
      </c>
      <c r="C113" t="inlineStr">
        <is>
          <t>Gasunie Deutschland</t>
        </is>
      </c>
      <c r="D113" t="inlineStr">
        <is>
          <t>Entry</t>
        </is>
      </c>
      <c r="E113" t="inlineStr">
        <is>
          <t>37Z000000008198A</t>
        </is>
      </c>
      <c r="F113" t="inlineStr">
        <is>
          <t>Brunsbüttel Hafen (LNG&gt;DE)</t>
        </is>
      </c>
      <c r="G113" t="inlineStr">
        <is>
          <t>Firm</t>
        </is>
      </c>
      <c r="H113" t="inlineStr">
        <is>
          <t>EUR</t>
        </is>
      </c>
      <c r="I113" t="inlineStr">
        <is>
          <t>kWh/h</t>
        </is>
      </c>
      <c r="J113" t="n">
        <v>475</v>
      </c>
      <c r="K113" t="n">
        <v>3</v>
      </c>
      <c r="L113" t="n">
        <v>2024</v>
      </c>
    </row>
    <row r="114">
      <c r="A114" t="n">
        <v>113</v>
      </c>
      <c r="B114" t="inlineStr">
        <is>
          <t>snam</t>
        </is>
      </c>
      <c r="C114" t="inlineStr">
        <is>
          <t>Snam Rete Gas</t>
        </is>
      </c>
      <c r="D114" t="inlineStr">
        <is>
          <t>Entry</t>
        </is>
      </c>
      <c r="E114" t="inlineStr">
        <is>
          <t>21Z000000000142Z</t>
        </is>
      </c>
      <c r="F114" t="inlineStr">
        <is>
          <t>Cavarzere (LNG&gt;IT)</t>
        </is>
      </c>
      <c r="G114" t="inlineStr">
        <is>
          <t>Firm</t>
        </is>
      </c>
      <c r="H114" t="inlineStr">
        <is>
          <t>EUR</t>
        </is>
      </c>
      <c r="I114" t="inlineStr">
        <is>
          <t>kWh/h</t>
        </is>
      </c>
      <c r="J114" t="n">
        <v>478</v>
      </c>
      <c r="K114" t="n">
        <v>1</v>
      </c>
      <c r="L114" t="n">
        <v>2025</v>
      </c>
    </row>
    <row r="115">
      <c r="A115" t="n">
        <v>114</v>
      </c>
      <c r="B115" t="inlineStr">
        <is>
          <t>GTS</t>
        </is>
      </c>
      <c r="C115" t="inlineStr">
        <is>
          <t>Gasunie Transport Services</t>
        </is>
      </c>
      <c r="D115" t="inlineStr">
        <is>
          <t>Entry</t>
        </is>
      </c>
      <c r="E115" t="inlineStr">
        <is>
          <t>52Z0000000001437</t>
        </is>
      </c>
      <c r="F115" t="inlineStr">
        <is>
          <t>Eems Energy Terminal (LNG&gt;NL)</t>
        </is>
      </c>
      <c r="G115" t="inlineStr">
        <is>
          <t>Firm</t>
        </is>
      </c>
      <c r="H115" t="inlineStr">
        <is>
          <t>EUR</t>
        </is>
      </c>
      <c r="I115" t="inlineStr">
        <is>
          <t>kWh/h</t>
        </is>
      </c>
      <c r="J115" t="n">
        <v>479</v>
      </c>
      <c r="K115" t="n">
        <v>1</v>
      </c>
      <c r="L115" t="n">
        <v>2025</v>
      </c>
    </row>
    <row r="116">
      <c r="A116" t="n">
        <v>115</v>
      </c>
      <c r="B116" t="inlineStr">
        <is>
          <t>GTS</t>
        </is>
      </c>
      <c r="C116" t="inlineStr">
        <is>
          <t>Gasunie Transport Services</t>
        </is>
      </c>
      <c r="D116" t="inlineStr">
        <is>
          <t>Entry</t>
        </is>
      </c>
      <c r="E116" t="inlineStr">
        <is>
          <t>21Z0000000002212</t>
        </is>
      </c>
      <c r="F116" t="inlineStr">
        <is>
          <t>Gate Terminal (LNG&gt;NL)</t>
        </is>
      </c>
      <c r="G116" t="inlineStr">
        <is>
          <t>Firm</t>
        </is>
      </c>
      <c r="H116" t="inlineStr">
        <is>
          <t>EUR</t>
        </is>
      </c>
      <c r="I116" t="inlineStr">
        <is>
          <t>kWh/h</t>
        </is>
      </c>
      <c r="J116" t="n">
        <v>480</v>
      </c>
      <c r="K116" t="n">
        <v>1</v>
      </c>
      <c r="L116" t="n">
        <v>2025</v>
      </c>
    </row>
    <row r="117">
      <c r="A117" t="n">
        <v>116</v>
      </c>
      <c r="B117" t="inlineStr">
        <is>
          <t>AMBERGR</t>
        </is>
      </c>
      <c r="C117" t="inlineStr">
        <is>
          <t>Amber Grid</t>
        </is>
      </c>
      <c r="D117" t="inlineStr">
        <is>
          <t>Entry</t>
        </is>
      </c>
      <c r="E117" t="inlineStr">
        <is>
          <t>21Z0000000003697</t>
        </is>
      </c>
      <c r="F117" t="inlineStr">
        <is>
          <t>Klaipeda (LNG&gt;LT)</t>
        </is>
      </c>
      <c r="G117" t="inlineStr">
        <is>
          <t>Firm</t>
        </is>
      </c>
      <c r="H117" t="inlineStr">
        <is>
          <t>EUR</t>
        </is>
      </c>
      <c r="I117" t="inlineStr">
        <is>
          <t>kWh/h</t>
        </is>
      </c>
      <c r="J117" t="n">
        <v>481</v>
      </c>
      <c r="K117" t="n">
        <v>3</v>
      </c>
      <c r="L117" t="n">
        <v>2024</v>
      </c>
    </row>
    <row r="118">
      <c r="A118" t="n">
        <v>117</v>
      </c>
      <c r="B118" t="inlineStr">
        <is>
          <t>plinacr</t>
        </is>
      </c>
      <c r="C118" t="inlineStr">
        <is>
          <t>Plinacro</t>
        </is>
      </c>
      <c r="D118" t="inlineStr">
        <is>
          <t>Entry</t>
        </is>
      </c>
      <c r="E118" t="inlineStr">
        <is>
          <t>21Z000000000510W</t>
        </is>
      </c>
      <c r="F118" t="inlineStr">
        <is>
          <t>Omišalj (LNG&gt;CR)</t>
        </is>
      </c>
      <c r="G118" t="inlineStr">
        <is>
          <t>Firm</t>
        </is>
      </c>
      <c r="H118" t="inlineStr">
        <is>
          <t>EUR</t>
        </is>
      </c>
      <c r="I118" t="inlineStr">
        <is>
          <t>kWh/d</t>
        </is>
      </c>
      <c r="J118" t="n">
        <v>484</v>
      </c>
      <c r="K118" t="n">
        <v>6</v>
      </c>
      <c r="L118" t="n">
        <v>2024</v>
      </c>
    </row>
    <row r="119">
      <c r="A119" t="n">
        <v>118</v>
      </c>
      <c r="B119" t="inlineStr">
        <is>
          <t>snam</t>
        </is>
      </c>
      <c r="C119" t="inlineStr">
        <is>
          <t>Snam Rete Gas</t>
        </is>
      </c>
      <c r="D119" t="inlineStr">
        <is>
          <t>Entry</t>
        </is>
      </c>
      <c r="E119" t="inlineStr">
        <is>
          <t>21Z0000000000430</t>
        </is>
      </c>
      <c r="F119" t="inlineStr">
        <is>
          <t>Panigaglia (LNG&gt;IT)</t>
        </is>
      </c>
      <c r="G119" t="inlineStr">
        <is>
          <t>Firm</t>
        </is>
      </c>
      <c r="H119" t="inlineStr">
        <is>
          <t>EUR</t>
        </is>
      </c>
      <c r="I119" t="inlineStr">
        <is>
          <t>kWh/h</t>
        </is>
      </c>
      <c r="J119" t="n">
        <v>490</v>
      </c>
      <c r="K119" t="n">
        <v>1</v>
      </c>
      <c r="L119" t="n">
        <v>2025</v>
      </c>
    </row>
    <row r="120">
      <c r="A120" t="n">
        <v>119</v>
      </c>
      <c r="B120" t="inlineStr">
        <is>
          <t>snam</t>
        </is>
      </c>
      <c r="C120" t="inlineStr">
        <is>
          <t>Snam Rete Gas</t>
        </is>
      </c>
      <c r="D120" t="inlineStr">
        <is>
          <t>Entry</t>
        </is>
      </c>
      <c r="E120" t="inlineStr">
        <is>
          <t>59ZPIOMBINO11112</t>
        </is>
      </c>
      <c r="F120" t="inlineStr">
        <is>
          <t>Piombino (LNG&gt;IT)</t>
        </is>
      </c>
      <c r="G120" t="inlineStr">
        <is>
          <t>Firm</t>
        </is>
      </c>
      <c r="H120" t="inlineStr">
        <is>
          <t>EUR</t>
        </is>
      </c>
      <c r="I120" t="inlineStr">
        <is>
          <t>kWh/h</t>
        </is>
      </c>
      <c r="J120" t="n">
        <v>491</v>
      </c>
      <c r="K120" t="n">
        <v>1</v>
      </c>
      <c r="L120" t="n">
        <v>2025</v>
      </c>
    </row>
    <row r="121">
      <c r="A121" t="n">
        <v>120</v>
      </c>
      <c r="B121" t="inlineStr">
        <is>
          <t>snam</t>
        </is>
      </c>
      <c r="C121" t="inlineStr">
        <is>
          <t>Snam Rete Gas</t>
        </is>
      </c>
      <c r="D121" t="inlineStr">
        <is>
          <t>Entry</t>
        </is>
      </c>
      <c r="E121" t="inlineStr">
        <is>
          <t>59Z50214501RAVE4</t>
        </is>
      </c>
      <c r="F121" t="inlineStr">
        <is>
          <t>Ravenna (LNG&gt;IT)</t>
        </is>
      </c>
      <c r="G121" t="inlineStr">
        <is>
          <t>Firm</t>
        </is>
      </c>
      <c r="H121" t="inlineStr">
        <is>
          <t>EUR</t>
        </is>
      </c>
      <c r="I121" t="inlineStr">
        <is>
          <t>kWh/h</t>
        </is>
      </c>
      <c r="J121" t="n">
        <v>492</v>
      </c>
      <c r="K121" t="n">
        <v>1</v>
      </c>
      <c r="L121" t="n">
        <v>2025</v>
      </c>
    </row>
    <row r="122">
      <c r="A122" t="n">
        <v>121</v>
      </c>
      <c r="B122" t="inlineStr">
        <is>
          <t>Gasunie</t>
        </is>
      </c>
      <c r="C122" t="inlineStr">
        <is>
          <t>Gasunie Deutschland</t>
        </is>
      </c>
      <c r="D122" t="inlineStr">
        <is>
          <t>Entry</t>
        </is>
      </c>
      <c r="E122" t="inlineStr">
        <is>
          <t>37Z0000000088623</t>
        </is>
      </c>
      <c r="F122" t="inlineStr">
        <is>
          <t>Stade Hafen (LNG&gt;DE)</t>
        </is>
      </c>
      <c r="G122" t="inlineStr">
        <is>
          <t>Firm</t>
        </is>
      </c>
      <c r="H122" t="inlineStr">
        <is>
          <t>EUR</t>
        </is>
      </c>
      <c r="I122" t="inlineStr">
        <is>
          <t>kWh/h</t>
        </is>
      </c>
      <c r="J122" t="n">
        <v>493</v>
      </c>
      <c r="K122" t="n">
        <v>2</v>
      </c>
      <c r="L122" t="n">
        <v>2025</v>
      </c>
    </row>
    <row r="123">
      <c r="A123" t="n">
        <v>122</v>
      </c>
      <c r="B123" t="inlineStr">
        <is>
          <t>OGE</t>
        </is>
      </c>
      <c r="C123" t="inlineStr">
        <is>
          <t>Open Grid Europe</t>
        </is>
      </c>
      <c r="D123" t="inlineStr">
        <is>
          <t>Entry</t>
        </is>
      </c>
      <c r="E123" t="inlineStr">
        <is>
          <t>21Y000000000141E</t>
        </is>
      </c>
      <c r="F123" t="inlineStr">
        <is>
          <t>Wilhelmshaven (LNG&gt;DE)</t>
        </is>
      </c>
      <c r="G123" t="inlineStr">
        <is>
          <t>Firm</t>
        </is>
      </c>
      <c r="H123" t="inlineStr">
        <is>
          <t>EUR</t>
        </is>
      </c>
      <c r="I123" t="inlineStr">
        <is>
          <t>kWh/h</t>
        </is>
      </c>
      <c r="J123" t="n">
        <v>495</v>
      </c>
      <c r="K123" t="n">
        <v>2</v>
      </c>
      <c r="L123" t="n">
        <v>2025</v>
      </c>
    </row>
    <row r="124">
      <c r="A124" t="n">
        <v>123</v>
      </c>
      <c r="B124" t="inlineStr">
        <is>
          <t>GAZSYS</t>
        </is>
      </c>
      <c r="C124" t="inlineStr">
        <is>
          <t>GAZ-SYSTEM</t>
        </is>
      </c>
      <c r="D124" t="inlineStr">
        <is>
          <t>Entry</t>
        </is>
      </c>
      <c r="E124" t="inlineStr">
        <is>
          <t>21Z000000000454G</t>
        </is>
      </c>
      <c r="F124" t="inlineStr">
        <is>
          <t>Świnoujście (LNG&gt;PL)</t>
        </is>
      </c>
      <c r="G124" t="inlineStr">
        <is>
          <t>Firm</t>
        </is>
      </c>
      <c r="H124" t="inlineStr">
        <is>
          <t>PLN</t>
        </is>
      </c>
      <c r="I124" t="inlineStr">
        <is>
          <t>kWh/h</t>
        </is>
      </c>
      <c r="J124" t="n">
        <v>497</v>
      </c>
      <c r="K124" t="n">
        <v>2</v>
      </c>
      <c r="L124" t="n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49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Point id</t>
        </is>
      </c>
      <c r="B1" s="3" t="inlineStr">
        <is>
          <t>First day</t>
        </is>
      </c>
      <c r="C1" s="3" t="inlineStr">
        <is>
          <t>Last day</t>
        </is>
      </c>
      <c r="D1" s="3" t="inlineStr">
        <is>
          <t>Valid from</t>
        </is>
      </c>
      <c r="E1" s="3" t="inlineStr">
        <is>
          <t>Open-ended</t>
        </is>
      </c>
      <c r="F1" s="3" t="inlineStr">
        <is>
          <t>Valid to</t>
        </is>
      </c>
      <c r="G1" s="3" t="inlineStr">
        <is>
          <t>Year</t>
        </is>
      </c>
      <c r="H1" s="3" t="inlineStr">
        <is>
          <t>Q1_Jan</t>
        </is>
      </c>
      <c r="I1" s="3" t="inlineStr">
        <is>
          <t>Q2_Apr</t>
        </is>
      </c>
      <c r="J1" s="3" t="inlineStr">
        <is>
          <t>Q3_Jul</t>
        </is>
      </c>
      <c r="K1" s="3" t="inlineStr">
        <is>
          <t>Q4_Oct</t>
        </is>
      </c>
      <c r="L1" s="3" t="inlineStr">
        <is>
          <t>M_Jan</t>
        </is>
      </c>
      <c r="M1" s="3" t="inlineStr">
        <is>
          <t>M_Feb</t>
        </is>
      </c>
      <c r="N1" s="3" t="inlineStr">
        <is>
          <t>M_Mar</t>
        </is>
      </c>
      <c r="O1" s="3" t="inlineStr">
        <is>
          <t>M_Apr</t>
        </is>
      </c>
      <c r="P1" s="3" t="inlineStr">
        <is>
          <t>M_Maj</t>
        </is>
      </c>
      <c r="Q1" s="3" t="inlineStr">
        <is>
          <t>M_Jun</t>
        </is>
      </c>
      <c r="R1" s="3" t="inlineStr">
        <is>
          <t>M_Jul</t>
        </is>
      </c>
      <c r="S1" s="3" t="inlineStr">
        <is>
          <t>M_Aug</t>
        </is>
      </c>
      <c r="T1" s="3" t="inlineStr">
        <is>
          <t>M_Sep</t>
        </is>
      </c>
      <c r="U1" s="3" t="inlineStr">
        <is>
          <t>M_Oct</t>
        </is>
      </c>
      <c r="V1" s="3" t="inlineStr">
        <is>
          <t>M_Nov</t>
        </is>
      </c>
      <c r="W1" s="3" t="inlineStr">
        <is>
          <t>M_Dec</t>
        </is>
      </c>
      <c r="X1" s="3" t="inlineStr">
        <is>
          <t>D_Jan</t>
        </is>
      </c>
      <c r="Y1" s="3" t="inlineStr">
        <is>
          <t>D_Feb</t>
        </is>
      </c>
      <c r="Z1" s="3" t="inlineStr">
        <is>
          <t>D_Mar</t>
        </is>
      </c>
      <c r="AA1" s="3" t="inlineStr">
        <is>
          <t>D_Apr</t>
        </is>
      </c>
      <c r="AB1" s="3" t="inlineStr">
        <is>
          <t>D_Maj</t>
        </is>
      </c>
      <c r="AC1" s="3" t="inlineStr">
        <is>
          <t>D_Jun</t>
        </is>
      </c>
      <c r="AD1" s="3" t="inlineStr">
        <is>
          <t>D_Jul</t>
        </is>
      </c>
      <c r="AE1" s="3" t="inlineStr">
        <is>
          <t>D_Aug</t>
        </is>
      </c>
      <c r="AF1" s="3" t="inlineStr">
        <is>
          <t>D_Sep</t>
        </is>
      </c>
      <c r="AG1" s="3" t="inlineStr">
        <is>
          <t>D_Oct</t>
        </is>
      </c>
      <c r="AH1" s="3" t="inlineStr">
        <is>
          <t>D_Nov</t>
        </is>
      </c>
      <c r="AI1" s="3" t="inlineStr">
        <is>
          <t>D_Dec</t>
        </is>
      </c>
    </row>
    <row r="2">
      <c r="A2" t="n">
        <v>1</v>
      </c>
      <c r="B2" s="13" t="n">
        <v>45658</v>
      </c>
      <c r="C2" s="13" t="n">
        <v>46022</v>
      </c>
      <c r="D2" s="13" t="n">
        <v>45658</v>
      </c>
      <c r="E2" t="n">
        <v>0</v>
      </c>
      <c r="F2" s="13" t="n">
        <v>46022</v>
      </c>
      <c r="G2" t="n">
        <v>2.0236</v>
      </c>
      <c r="H2" t="n">
        <v>0.5486</v>
      </c>
      <c r="I2" t="n">
        <v>0.5547</v>
      </c>
      <c r="J2" t="n">
        <v>0.5608</v>
      </c>
      <c r="K2" t="n">
        <v>0.5608</v>
      </c>
      <c r="L2" t="n">
        <v>0.215</v>
      </c>
      <c r="M2" t="n">
        <v>0.1942</v>
      </c>
      <c r="N2" t="n">
        <v>0.215</v>
      </c>
      <c r="O2" t="n">
        <v>0.2081</v>
      </c>
      <c r="P2" t="n">
        <v>0.215</v>
      </c>
      <c r="Q2" t="n">
        <v>0.2081</v>
      </c>
      <c r="R2" t="n">
        <v>0.215</v>
      </c>
      <c r="S2" t="n">
        <v>0.215</v>
      </c>
      <c r="T2" t="n">
        <v>0.2081</v>
      </c>
      <c r="U2" t="n">
        <v>0.215</v>
      </c>
      <c r="V2" t="n">
        <v>0.2081</v>
      </c>
      <c r="W2" t="n">
        <v>0.215</v>
      </c>
      <c r="X2" t="n">
        <v>0.0083</v>
      </c>
      <c r="Y2" t="n">
        <v>0.0083</v>
      </c>
      <c r="Z2" t="n">
        <v>0.0083</v>
      </c>
      <c r="AA2" t="n">
        <v>0.0083</v>
      </c>
      <c r="AB2" t="n">
        <v>0.0083</v>
      </c>
      <c r="AC2" t="n">
        <v>0.0083</v>
      </c>
      <c r="AD2" t="n">
        <v>0.0083</v>
      </c>
      <c r="AE2" t="n">
        <v>0.0083</v>
      </c>
      <c r="AF2" t="n">
        <v>0.0083</v>
      </c>
      <c r="AG2" t="n">
        <v>0.0083</v>
      </c>
      <c r="AH2" t="n">
        <v>0.0083</v>
      </c>
      <c r="AI2" t="n">
        <v>0.0083</v>
      </c>
    </row>
    <row r="3">
      <c r="A3" t="n">
        <v>1</v>
      </c>
      <c r="B3" s="13" t="n">
        <v>46023</v>
      </c>
      <c r="C3" s="13" t="n">
        <v>46387</v>
      </c>
      <c r="D3" s="13" t="n">
        <v>46023</v>
      </c>
      <c r="E3" t="n">
        <v>0</v>
      </c>
      <c r="F3" s="13" t="n">
        <v>46387</v>
      </c>
      <c r="G3" t="n">
        <v>4.08216</v>
      </c>
      <c r="H3" t="n">
        <v>1.10808</v>
      </c>
      <c r="I3" t="n">
        <v>1.120392</v>
      </c>
      <c r="J3" t="n">
        <v>1.132704</v>
      </c>
      <c r="K3" t="n">
        <v>1.132704</v>
      </c>
      <c r="L3" t="n">
        <v>0.433752</v>
      </c>
      <c r="M3" t="n">
        <v>0.391776</v>
      </c>
      <c r="N3" t="n">
        <v>0.433752</v>
      </c>
      <c r="O3" t="n">
        <v>0.41976</v>
      </c>
      <c r="P3" t="n">
        <v>0.433752</v>
      </c>
      <c r="Q3" t="n">
        <v>0.41976</v>
      </c>
      <c r="R3" t="n">
        <v>0.433752</v>
      </c>
      <c r="S3" t="n">
        <v>0.433752</v>
      </c>
      <c r="T3" t="n">
        <v>0.41976</v>
      </c>
      <c r="U3" t="n">
        <v>0.433752</v>
      </c>
      <c r="V3" t="n">
        <v>0.41976</v>
      </c>
      <c r="W3" t="n">
        <v>0.433752</v>
      </c>
      <c r="X3" t="n">
        <v>0.0168</v>
      </c>
      <c r="Y3" t="n">
        <v>0.0168</v>
      </c>
      <c r="Z3" t="n">
        <v>0.0168</v>
      </c>
      <c r="AA3" t="n">
        <v>0.0168</v>
      </c>
      <c r="AB3" t="n">
        <v>0.0168</v>
      </c>
      <c r="AC3" t="n">
        <v>0.0168</v>
      </c>
      <c r="AD3" t="n">
        <v>0.0168</v>
      </c>
      <c r="AE3" t="n">
        <v>0.0168</v>
      </c>
      <c r="AF3" t="n">
        <v>0.0168</v>
      </c>
      <c r="AG3" t="n">
        <v>0.0168</v>
      </c>
      <c r="AH3" t="n">
        <v>0.0168</v>
      </c>
      <c r="AI3" t="n">
        <v>0.0168</v>
      </c>
    </row>
    <row r="4">
      <c r="A4" t="n">
        <v>1</v>
      </c>
      <c r="B4" s="13" t="n">
        <v>46388</v>
      </c>
      <c r="C4" s="13" t="n">
        <v>2958465</v>
      </c>
      <c r="D4" s="13" t="n">
        <v>46388</v>
      </c>
      <c r="E4" t="n">
        <v>1</v>
      </c>
      <c r="G4" t="n">
        <v>3.35508</v>
      </c>
      <c r="H4" t="n">
        <v>0.9093599999999999</v>
      </c>
      <c r="I4" t="n">
        <v>0.9194639999999999</v>
      </c>
      <c r="J4" t="n">
        <v>0.9295679999999999</v>
      </c>
      <c r="K4" t="n">
        <v>0.9295679999999999</v>
      </c>
      <c r="L4" t="n">
        <v>0.355632</v>
      </c>
      <c r="M4" t="n">
        <v>0.321216</v>
      </c>
      <c r="N4" t="n">
        <v>0.355632</v>
      </c>
      <c r="O4" t="n">
        <v>0.34416</v>
      </c>
      <c r="P4" t="n">
        <v>0.355632</v>
      </c>
      <c r="Q4" t="n">
        <v>0.34416</v>
      </c>
      <c r="R4" t="n">
        <v>0.355632</v>
      </c>
      <c r="S4" t="n">
        <v>0.355632</v>
      </c>
      <c r="T4" t="n">
        <v>0.34416</v>
      </c>
      <c r="U4" t="n">
        <v>0.355632</v>
      </c>
      <c r="V4" t="n">
        <v>0.34416</v>
      </c>
      <c r="W4" t="n">
        <v>0.355632</v>
      </c>
      <c r="X4" t="n">
        <v>0.01368</v>
      </c>
      <c r="Y4" t="n">
        <v>0.01368</v>
      </c>
      <c r="Z4" t="n">
        <v>0.01368</v>
      </c>
      <c r="AA4" t="n">
        <v>0.01368</v>
      </c>
      <c r="AB4" t="n">
        <v>0.01368</v>
      </c>
      <c r="AC4" t="n">
        <v>0.01368</v>
      </c>
      <c r="AD4" t="n">
        <v>0.01368</v>
      </c>
      <c r="AE4" t="n">
        <v>0.01368</v>
      </c>
      <c r="AF4" t="n">
        <v>0.01368</v>
      </c>
      <c r="AG4" t="n">
        <v>0.01368</v>
      </c>
      <c r="AH4" t="n">
        <v>0.01368</v>
      </c>
      <c r="AI4" t="n">
        <v>0.01368</v>
      </c>
    </row>
    <row r="5">
      <c r="A5" t="n">
        <v>2</v>
      </c>
      <c r="B5" s="13" t="n">
        <v>46023</v>
      </c>
      <c r="C5" s="13" t="n">
        <v>46295</v>
      </c>
      <c r="D5" s="13" t="n">
        <v>46023</v>
      </c>
      <c r="E5" t="n">
        <v>0</v>
      </c>
      <c r="F5" s="13" t="n">
        <v>46295</v>
      </c>
      <c r="G5" t="n">
        <v>0.1622518</v>
      </c>
      <c r="H5" t="n">
        <v>0.0696927</v>
      </c>
      <c r="I5" t="n">
        <v>0.0462769</v>
      </c>
      <c r="J5" t="n">
        <v>0.0361524</v>
      </c>
      <c r="K5" t="n">
        <v>0.0590134</v>
      </c>
      <c r="L5" t="n">
        <v>0.027781</v>
      </c>
      <c r="M5" t="n">
        <v>0.0242213</v>
      </c>
      <c r="N5" t="n">
        <v>0.0227651</v>
      </c>
      <c r="O5" t="n">
        <v>0.0214706</v>
      </c>
      <c r="P5" t="n">
        <v>0.0163986</v>
      </c>
      <c r="Q5" t="n">
        <v>0.0117622</v>
      </c>
      <c r="R5" t="n">
        <v>0.0119613</v>
      </c>
      <c r="S5" t="n">
        <v>0.0113825</v>
      </c>
      <c r="T5" t="n">
        <v>0.0153095</v>
      </c>
      <c r="U5" t="n">
        <v>0.0183278</v>
      </c>
      <c r="V5" t="n">
        <v>0.0209105</v>
      </c>
      <c r="W5" t="n">
        <v>0.0243085</v>
      </c>
      <c r="X5" t="n">
        <v>0.0012802</v>
      </c>
      <c r="Y5" t="n">
        <v>0.0012358</v>
      </c>
      <c r="Z5" t="n">
        <v>0.0010491</v>
      </c>
      <c r="AA5" t="n">
        <v>0.0010224</v>
      </c>
      <c r="AB5" t="n">
        <v>0.0007557</v>
      </c>
      <c r="AC5" t="n">
        <v>0.0005601</v>
      </c>
      <c r="AD5" t="n">
        <v>0.0005512</v>
      </c>
      <c r="AE5" t="n">
        <v>0.0005245</v>
      </c>
      <c r="AF5" t="n">
        <v>0.000729</v>
      </c>
      <c r="AG5" t="n">
        <v>0.0008446</v>
      </c>
      <c r="AH5" t="n">
        <v>0.0009957</v>
      </c>
      <c r="AI5" t="n">
        <v>0.0011202</v>
      </c>
    </row>
    <row r="6">
      <c r="A6" t="n">
        <v>2</v>
      </c>
      <c r="B6" s="13" t="n">
        <v>46296</v>
      </c>
      <c r="C6" s="13" t="n">
        <v>2958465</v>
      </c>
      <c r="D6" s="13" t="n">
        <v>46296</v>
      </c>
      <c r="E6" t="n">
        <v>1</v>
      </c>
      <c r="G6" t="n">
        <v>0.1627475</v>
      </c>
      <c r="H6" t="n">
        <v>0.0704273</v>
      </c>
      <c r="I6" t="n">
        <v>0.0458908</v>
      </c>
      <c r="J6" t="n">
        <v>0.0351963</v>
      </c>
      <c r="K6" t="n">
        <v>0.0602603</v>
      </c>
      <c r="L6" t="n">
        <v>0.0278659</v>
      </c>
      <c r="M6" t="n">
        <v>0.0251692</v>
      </c>
      <c r="N6" t="n">
        <v>0.0226411</v>
      </c>
      <c r="O6" t="n">
        <v>0.0219107</v>
      </c>
      <c r="P6" t="n">
        <v>0.0160616</v>
      </c>
      <c r="Q6" t="n">
        <v>0.0112363</v>
      </c>
      <c r="R6" t="n">
        <v>0.0119978</v>
      </c>
      <c r="S6" t="n">
        <v>0.0106432</v>
      </c>
      <c r="T6" t="n">
        <v>0.015169</v>
      </c>
      <c r="U6" t="n">
        <v>0.0189643</v>
      </c>
      <c r="V6" t="n">
        <v>0.0213489</v>
      </c>
      <c r="W6" t="n">
        <v>0.0243827</v>
      </c>
      <c r="X6" t="n">
        <v>0.0012841</v>
      </c>
      <c r="Y6" t="n">
        <v>0.0012841</v>
      </c>
      <c r="Z6" t="n">
        <v>0.0010434</v>
      </c>
      <c r="AA6" t="n">
        <v>0.0010434</v>
      </c>
      <c r="AB6" t="n">
        <v>0.0007402</v>
      </c>
      <c r="AC6" t="n">
        <v>0.0005351000000000001</v>
      </c>
      <c r="AD6" t="n">
        <v>0.0005529</v>
      </c>
      <c r="AE6" t="n">
        <v>0.0004905000000000001</v>
      </c>
      <c r="AF6" t="n">
        <v>0.0007223</v>
      </c>
      <c r="AG6" t="n">
        <v>0.0008739</v>
      </c>
      <c r="AH6" t="n">
        <v>0.0010166</v>
      </c>
      <c r="AI6" t="n">
        <v>0.0011236</v>
      </c>
    </row>
    <row r="7">
      <c r="A7" t="n">
        <v>3</v>
      </c>
      <c r="B7" s="13" t="n">
        <v>46023</v>
      </c>
      <c r="C7" s="13" t="n">
        <v>46295</v>
      </c>
      <c r="D7" s="13" t="n">
        <v>46023</v>
      </c>
      <c r="E7" t="n">
        <v>0</v>
      </c>
      <c r="F7" s="13" t="n">
        <v>46295</v>
      </c>
      <c r="G7" t="n">
        <v>0.1327455</v>
      </c>
      <c r="H7" t="n">
        <v>0.0570187</v>
      </c>
      <c r="I7" t="n">
        <v>0.0378612</v>
      </c>
      <c r="J7" t="n">
        <v>0.0295779</v>
      </c>
      <c r="K7" t="n">
        <v>0.0482815</v>
      </c>
      <c r="L7" t="n">
        <v>0.0227289</v>
      </c>
      <c r="M7" t="n">
        <v>0.0198165</v>
      </c>
      <c r="N7" t="n">
        <v>0.0186251</v>
      </c>
      <c r="O7" t="n">
        <v>0.017566</v>
      </c>
      <c r="P7" t="n">
        <v>0.0134164</v>
      </c>
      <c r="Q7" t="n">
        <v>0.009623100000000001</v>
      </c>
      <c r="R7" t="n">
        <v>0.009786100000000001</v>
      </c>
      <c r="S7" t="n">
        <v>0.009312600000000001</v>
      </c>
      <c r="T7" t="n">
        <v>0.0125254</v>
      </c>
      <c r="U7" t="n">
        <v>0.0149948</v>
      </c>
      <c r="V7" t="n">
        <v>0.0171078</v>
      </c>
      <c r="W7" t="n">
        <v>0.0198878</v>
      </c>
      <c r="X7" t="n">
        <v>0.0010474</v>
      </c>
      <c r="Y7" t="n">
        <v>0.001011</v>
      </c>
      <c r="Z7" t="n">
        <v>0.0008583</v>
      </c>
      <c r="AA7" t="n">
        <v>0.0008365</v>
      </c>
      <c r="AB7" t="n">
        <v>0.0006183</v>
      </c>
      <c r="AC7" t="n">
        <v>0.0004582</v>
      </c>
      <c r="AD7" t="n">
        <v>0.000451</v>
      </c>
      <c r="AE7" t="n">
        <v>0.0004291</v>
      </c>
      <c r="AF7" t="n">
        <v>0.0005964</v>
      </c>
      <c r="AG7" t="n">
        <v>0.000691</v>
      </c>
      <c r="AH7" t="n">
        <v>0.0008146</v>
      </c>
      <c r="AI7" t="n">
        <v>0.0009165</v>
      </c>
    </row>
    <row r="8">
      <c r="A8" t="n">
        <v>3</v>
      </c>
      <c r="B8" s="13" t="n">
        <v>46296</v>
      </c>
      <c r="C8" s="13" t="n">
        <v>2958465</v>
      </c>
      <c r="D8" s="13" t="n">
        <v>46296</v>
      </c>
      <c r="E8" t="n">
        <v>1</v>
      </c>
      <c r="G8" t="n">
        <v>0.1228801</v>
      </c>
      <c r="H8" t="n">
        <v>0.0531751</v>
      </c>
      <c r="I8" t="n">
        <v>0.0346492</v>
      </c>
      <c r="J8" t="n">
        <v>0.0265744</v>
      </c>
      <c r="K8" t="n">
        <v>0.0454986</v>
      </c>
      <c r="L8" t="n">
        <v>0.0210398</v>
      </c>
      <c r="M8" t="n">
        <v>0.0190037</v>
      </c>
      <c r="N8" t="n">
        <v>0.0170948</v>
      </c>
      <c r="O8" t="n">
        <v>0.0165434</v>
      </c>
      <c r="P8" t="n">
        <v>0.0121271</v>
      </c>
      <c r="Q8" t="n">
        <v>0.0084838</v>
      </c>
      <c r="R8" t="n">
        <v>0.009058800000000001</v>
      </c>
      <c r="S8" t="n">
        <v>0.008036</v>
      </c>
      <c r="T8" t="n">
        <v>0.0114531</v>
      </c>
      <c r="U8" t="n">
        <v>0.0143187</v>
      </c>
      <c r="V8" t="n">
        <v>0.0161192</v>
      </c>
      <c r="W8" t="n">
        <v>0.0184098</v>
      </c>
      <c r="X8" t="n">
        <v>0.0009696</v>
      </c>
      <c r="Y8" t="n">
        <v>0.0009696</v>
      </c>
      <c r="Z8" t="n">
        <v>0.0007878</v>
      </c>
      <c r="AA8" t="n">
        <v>0.0007878</v>
      </c>
      <c r="AB8" t="n">
        <v>0.0005589</v>
      </c>
      <c r="AC8" t="n">
        <v>0.000404</v>
      </c>
      <c r="AD8" t="n">
        <v>0.0004175</v>
      </c>
      <c r="AE8" t="n">
        <v>0.0003703</v>
      </c>
      <c r="AF8" t="n">
        <v>0.0005454</v>
      </c>
      <c r="AG8" t="n">
        <v>0.0006598</v>
      </c>
      <c r="AH8" t="n">
        <v>0.0007676</v>
      </c>
      <c r="AI8" t="n">
        <v>0.0008484</v>
      </c>
    </row>
    <row r="9">
      <c r="A9" t="n">
        <v>4</v>
      </c>
      <c r="B9" s="13" t="n">
        <v>46023</v>
      </c>
      <c r="C9" s="13" t="n">
        <v>46295</v>
      </c>
      <c r="D9" s="13" t="n">
        <v>46023</v>
      </c>
      <c r="E9" t="n">
        <v>0</v>
      </c>
      <c r="F9" s="13" t="n">
        <v>46295</v>
      </c>
      <c r="G9" t="n">
        <v>0.162534</v>
      </c>
      <c r="H9" t="n">
        <v>0.0698139</v>
      </c>
      <c r="I9" t="n">
        <v>0.0463574</v>
      </c>
      <c r="J9" t="n">
        <v>0.0362153</v>
      </c>
      <c r="K9" t="n">
        <v>0.059116</v>
      </c>
      <c r="L9" t="n">
        <v>0.0278294</v>
      </c>
      <c r="M9" t="n">
        <v>0.0242634</v>
      </c>
      <c r="N9" t="n">
        <v>0.0228046</v>
      </c>
      <c r="O9" t="n">
        <v>0.0215079</v>
      </c>
      <c r="P9" t="n">
        <v>0.016427</v>
      </c>
      <c r="Q9" t="n">
        <v>0.0117826</v>
      </c>
      <c r="R9" t="n">
        <v>0.0119821</v>
      </c>
      <c r="S9" t="n">
        <v>0.0114023</v>
      </c>
      <c r="T9" t="n">
        <v>0.0153361</v>
      </c>
      <c r="U9" t="n">
        <v>0.0183597</v>
      </c>
      <c r="V9" t="n">
        <v>0.0209469</v>
      </c>
      <c r="W9" t="n">
        <v>0.0243507</v>
      </c>
      <c r="X9" t="n">
        <v>0.0012825</v>
      </c>
      <c r="Y9" t="n">
        <v>0.0012379</v>
      </c>
      <c r="Z9" t="n">
        <v>0.0010509</v>
      </c>
      <c r="AA9" t="n">
        <v>0.0010242</v>
      </c>
      <c r="AB9" t="n">
        <v>0.000757</v>
      </c>
      <c r="AC9" t="n">
        <v>0.0005611</v>
      </c>
      <c r="AD9" t="n">
        <v>0.0005522</v>
      </c>
      <c r="AE9" t="n">
        <v>0.0005255</v>
      </c>
      <c r="AF9" t="n">
        <v>0.0007303</v>
      </c>
      <c r="AG9" t="n">
        <v>0.0008461</v>
      </c>
      <c r="AH9" t="n">
        <v>0.0009974999999999999</v>
      </c>
      <c r="AI9" t="n">
        <v>0.0011221</v>
      </c>
    </row>
    <row r="10">
      <c r="A10" t="n">
        <v>4</v>
      </c>
      <c r="B10" s="13" t="n">
        <v>46296</v>
      </c>
      <c r="C10" s="13" t="n">
        <v>2958465</v>
      </c>
      <c r="D10" s="13" t="n">
        <v>46296</v>
      </c>
      <c r="E10" t="n">
        <v>1</v>
      </c>
      <c r="G10" t="n">
        <v>0.1630046</v>
      </c>
      <c r="H10" t="n">
        <v>0.07053860000000001</v>
      </c>
      <c r="I10" t="n">
        <v>0.0459633</v>
      </c>
      <c r="J10" t="n">
        <v>0.0352519</v>
      </c>
      <c r="K10" t="n">
        <v>0.0603555</v>
      </c>
      <c r="L10" t="n">
        <v>0.02791</v>
      </c>
      <c r="M10" t="n">
        <v>0.025209</v>
      </c>
      <c r="N10" t="n">
        <v>0.0226768</v>
      </c>
      <c r="O10" t="n">
        <v>0.0219453</v>
      </c>
      <c r="P10" t="n">
        <v>0.016087</v>
      </c>
      <c r="Q10" t="n">
        <v>0.011254</v>
      </c>
      <c r="R10" t="n">
        <v>0.0120168</v>
      </c>
      <c r="S10" t="n">
        <v>0.0106601</v>
      </c>
      <c r="T10" t="n">
        <v>0.0151929</v>
      </c>
      <c r="U10" t="n">
        <v>0.0189943</v>
      </c>
      <c r="V10" t="n">
        <v>0.0213826</v>
      </c>
      <c r="W10" t="n">
        <v>0.0244212</v>
      </c>
      <c r="X10" t="n">
        <v>0.0012862</v>
      </c>
      <c r="Y10" t="n">
        <v>0.0012862</v>
      </c>
      <c r="Z10" t="n">
        <v>0.001045</v>
      </c>
      <c r="AA10" t="n">
        <v>0.001045</v>
      </c>
      <c r="AB10" t="n">
        <v>0.0007413</v>
      </c>
      <c r="AC10" t="n">
        <v>0.0005359</v>
      </c>
      <c r="AD10" t="n">
        <v>0.0005538</v>
      </c>
      <c r="AE10" t="n">
        <v>0.0004912</v>
      </c>
      <c r="AF10" t="n">
        <v>0.0007235</v>
      </c>
      <c r="AG10" t="n">
        <v>0.0008753</v>
      </c>
      <c r="AH10" t="n">
        <v>0.0010182</v>
      </c>
      <c r="AI10" t="n">
        <v>0.0011254</v>
      </c>
    </row>
    <row r="11">
      <c r="A11" t="n">
        <v>5</v>
      </c>
      <c r="B11" s="13" t="n">
        <v>46023</v>
      </c>
      <c r="C11" s="13" t="n">
        <v>46295</v>
      </c>
      <c r="D11" s="13" t="n">
        <v>46023</v>
      </c>
      <c r="E11" t="n">
        <v>0</v>
      </c>
      <c r="F11" s="13" t="n">
        <v>46295</v>
      </c>
      <c r="G11" t="n">
        <v>0.1623144</v>
      </c>
      <c r="H11" t="n">
        <v>0.06971960000000001</v>
      </c>
      <c r="I11" t="n">
        <v>0.0462947</v>
      </c>
      <c r="J11" t="n">
        <v>0.0361663</v>
      </c>
      <c r="K11" t="n">
        <v>0.0590362</v>
      </c>
      <c r="L11" t="n">
        <v>0.0277918</v>
      </c>
      <c r="M11" t="n">
        <v>0.0242306</v>
      </c>
      <c r="N11" t="n">
        <v>0.0227738</v>
      </c>
      <c r="O11" t="n">
        <v>0.0214789</v>
      </c>
      <c r="P11" t="n">
        <v>0.0164049</v>
      </c>
      <c r="Q11" t="n">
        <v>0.0117667</v>
      </c>
      <c r="R11" t="n">
        <v>0.0119659</v>
      </c>
      <c r="S11" t="n">
        <v>0.0113869</v>
      </c>
      <c r="T11" t="n">
        <v>0.0153153</v>
      </c>
      <c r="U11" t="n">
        <v>0.0183349</v>
      </c>
      <c r="V11" t="n">
        <v>0.0209185</v>
      </c>
      <c r="W11" t="n">
        <v>0.0243178</v>
      </c>
      <c r="X11" t="n">
        <v>0.0012807</v>
      </c>
      <c r="Y11" t="n">
        <v>0.0012363</v>
      </c>
      <c r="Z11" t="n">
        <v>0.0010495</v>
      </c>
      <c r="AA11" t="n">
        <v>0.0010228</v>
      </c>
      <c r="AB11" t="n">
        <v>0.0007560000000000001</v>
      </c>
      <c r="AC11" t="n">
        <v>0.0005603</v>
      </c>
      <c r="AD11" t="n">
        <v>0.0005514</v>
      </c>
      <c r="AE11" t="n">
        <v>0.0005247</v>
      </c>
      <c r="AF11" t="n">
        <v>0.0007293</v>
      </c>
      <c r="AG11" t="n">
        <v>0.0008449</v>
      </c>
      <c r="AH11" t="n">
        <v>0.0009961</v>
      </c>
      <c r="AI11" t="n">
        <v>0.0011206</v>
      </c>
    </row>
    <row r="12">
      <c r="A12" t="n">
        <v>5</v>
      </c>
      <c r="B12" s="13" t="n">
        <v>46296</v>
      </c>
      <c r="C12" s="13" t="n">
        <v>2958465</v>
      </c>
      <c r="D12" s="13" t="n">
        <v>46296</v>
      </c>
      <c r="E12" t="n">
        <v>1</v>
      </c>
      <c r="G12" t="n">
        <v>0.1612439</v>
      </c>
      <c r="H12" t="n">
        <v>0.06977659999999999</v>
      </c>
      <c r="I12" t="n">
        <v>0.0454668</v>
      </c>
      <c r="J12" t="n">
        <v>0.0348711</v>
      </c>
      <c r="K12" t="n">
        <v>0.0597035</v>
      </c>
      <c r="L12" t="n">
        <v>0.0276085</v>
      </c>
      <c r="M12" t="n">
        <v>0.0249367</v>
      </c>
      <c r="N12" t="n">
        <v>0.0224319</v>
      </c>
      <c r="O12" t="n">
        <v>0.0217083</v>
      </c>
      <c r="P12" t="n">
        <v>0.0159132</v>
      </c>
      <c r="Q12" t="n">
        <v>0.0113125</v>
      </c>
      <c r="R12" t="n">
        <v>0.011887</v>
      </c>
      <c r="S12" t="n">
        <v>0.0105449</v>
      </c>
      <c r="T12" t="n">
        <v>0.0150288</v>
      </c>
      <c r="U12" t="n">
        <v>0.0187891</v>
      </c>
      <c r="V12" t="n">
        <v>0.0211517</v>
      </c>
      <c r="W12" t="n">
        <v>0.0241574</v>
      </c>
      <c r="X12" t="n">
        <v>0.0012723</v>
      </c>
      <c r="Y12" t="n">
        <v>0.0012723</v>
      </c>
      <c r="Z12" t="n">
        <v>0.0010337</v>
      </c>
      <c r="AA12" t="n">
        <v>0.0010337</v>
      </c>
      <c r="AB12" t="n">
        <v>0.0007333</v>
      </c>
      <c r="AC12" t="n">
        <v>0.0005301</v>
      </c>
      <c r="AD12" t="n">
        <v>0.0005478</v>
      </c>
      <c r="AE12" t="n">
        <v>0.0004859</v>
      </c>
      <c r="AF12" t="n">
        <v>0.0007157</v>
      </c>
      <c r="AG12" t="n">
        <v>0.0008659</v>
      </c>
      <c r="AH12" t="n">
        <v>0.0010072</v>
      </c>
      <c r="AI12" t="n">
        <v>0.0011132</v>
      </c>
    </row>
    <row r="13">
      <c r="A13" t="n">
        <v>6</v>
      </c>
      <c r="B13" s="13" t="n">
        <v>46023</v>
      </c>
      <c r="C13" s="13" t="n">
        <v>46295</v>
      </c>
      <c r="D13" s="13" t="n">
        <v>46023</v>
      </c>
      <c r="E13" t="n">
        <v>0</v>
      </c>
      <c r="F13" s="13" t="n">
        <v>46295</v>
      </c>
      <c r="G13" t="n">
        <v>0.1233752</v>
      </c>
      <c r="H13" t="n">
        <v>0.0529939</v>
      </c>
      <c r="I13" t="n">
        <v>0.0351886</v>
      </c>
      <c r="J13" t="n">
        <v>0.02749</v>
      </c>
      <c r="K13" t="n">
        <v>0.0448734</v>
      </c>
      <c r="L13" t="n">
        <v>0.0211245</v>
      </c>
      <c r="M13" t="n">
        <v>0.0184177</v>
      </c>
      <c r="N13" t="n">
        <v>0.0173104</v>
      </c>
      <c r="O13" t="n">
        <v>0.0163261</v>
      </c>
      <c r="P13" t="n">
        <v>0.0124693</v>
      </c>
      <c r="Q13" t="n">
        <v>0.008943899999999999</v>
      </c>
      <c r="R13" t="n">
        <v>0.009095300000000001</v>
      </c>
      <c r="S13" t="n">
        <v>0.0086552</v>
      </c>
      <c r="T13" t="n">
        <v>0.0116412</v>
      </c>
      <c r="U13" t="n">
        <v>0.0139363</v>
      </c>
      <c r="V13" t="n">
        <v>0.0159002</v>
      </c>
      <c r="W13" t="n">
        <v>0.018484</v>
      </c>
      <c r="X13" t="n">
        <v>0.0009735</v>
      </c>
      <c r="Y13" t="n">
        <v>0.0009397</v>
      </c>
      <c r="Z13" t="n">
        <v>0.0007977</v>
      </c>
      <c r="AA13" t="n">
        <v>0.0007774</v>
      </c>
      <c r="AB13" t="n">
        <v>0.0005746</v>
      </c>
      <c r="AC13" t="n">
        <v>0.0004259</v>
      </c>
      <c r="AD13" t="n">
        <v>0.0004192</v>
      </c>
      <c r="AE13" t="n">
        <v>0.0003989</v>
      </c>
      <c r="AF13" t="n">
        <v>0.0005543</v>
      </c>
      <c r="AG13" t="n">
        <v>0.0006422</v>
      </c>
      <c r="AH13" t="n">
        <v>0.0007572</v>
      </c>
      <c r="AI13" t="n">
        <v>0.0008518</v>
      </c>
    </row>
    <row r="14">
      <c r="A14" t="n">
        <v>6</v>
      </c>
      <c r="B14" s="13" t="n">
        <v>46296</v>
      </c>
      <c r="C14" s="13" t="n">
        <v>2958465</v>
      </c>
      <c r="D14" s="13" t="n">
        <v>46296</v>
      </c>
      <c r="E14" t="n">
        <v>1</v>
      </c>
      <c r="G14" t="n">
        <v>0.1227019</v>
      </c>
      <c r="H14" t="n">
        <v>0.053098</v>
      </c>
      <c r="I14" t="n">
        <v>0.0345989</v>
      </c>
      <c r="J14" t="n">
        <v>0.0265359</v>
      </c>
      <c r="K14" t="n">
        <v>0.0454326</v>
      </c>
      <c r="L14" t="n">
        <v>0.0210093</v>
      </c>
      <c r="M14" t="n">
        <v>0.0189761</v>
      </c>
      <c r="N14" t="n">
        <v>0.01707</v>
      </c>
      <c r="O14" t="n">
        <v>0.0165194</v>
      </c>
      <c r="P14" t="n">
        <v>0.0121095</v>
      </c>
      <c r="Q14" t="n">
        <v>0.0084715</v>
      </c>
      <c r="R14" t="n">
        <v>0.0090457</v>
      </c>
      <c r="S14" t="n">
        <v>0.008024399999999999</v>
      </c>
      <c r="T14" t="n">
        <v>0.0114365</v>
      </c>
      <c r="U14" t="n">
        <v>0.014298</v>
      </c>
      <c r="V14" t="n">
        <v>0.0160958</v>
      </c>
      <c r="W14" t="n">
        <v>0.0183831</v>
      </c>
      <c r="X14" t="n">
        <v>0.0009682</v>
      </c>
      <c r="Y14" t="n">
        <v>0.0009682</v>
      </c>
      <c r="Z14" t="n">
        <v>0.0007866</v>
      </c>
      <c r="AA14" t="n">
        <v>0.0007866</v>
      </c>
      <c r="AB14" t="n">
        <v>0.000558</v>
      </c>
      <c r="AC14" t="n">
        <v>0.0004034</v>
      </c>
      <c r="AD14" t="n">
        <v>0.0004169</v>
      </c>
      <c r="AE14" t="n">
        <v>0.0003698</v>
      </c>
      <c r="AF14" t="n">
        <v>0.0005446</v>
      </c>
      <c r="AG14" t="n">
        <v>0.0006589</v>
      </c>
      <c r="AH14" t="n">
        <v>0.0007665</v>
      </c>
      <c r="AI14" t="n">
        <v>0.0008471</v>
      </c>
    </row>
    <row r="15">
      <c r="A15" t="n">
        <v>7</v>
      </c>
      <c r="B15" s="13" t="n">
        <v>46023</v>
      </c>
      <c r="C15" s="13" t="n">
        <v>46295</v>
      </c>
      <c r="D15" s="13" t="n">
        <v>46023</v>
      </c>
      <c r="E15" t="n">
        <v>0</v>
      </c>
      <c r="F15" s="13" t="n">
        <v>46295</v>
      </c>
      <c r="G15" t="n">
        <v>0.2654889</v>
      </c>
      <c r="H15" t="n">
        <v>0.1140365</v>
      </c>
      <c r="I15" t="n">
        <v>0.07572180000000001</v>
      </c>
      <c r="J15" t="n">
        <v>0.0591553</v>
      </c>
      <c r="K15" t="n">
        <v>0.0965623</v>
      </c>
      <c r="L15" t="n">
        <v>0.0454575</v>
      </c>
      <c r="M15" t="n">
        <v>0.0396327</v>
      </c>
      <c r="N15" t="n">
        <v>0.0372499</v>
      </c>
      <c r="O15" t="n">
        <v>0.0351318</v>
      </c>
      <c r="P15" t="n">
        <v>0.0268325</v>
      </c>
      <c r="Q15" t="n">
        <v>0.0192461</v>
      </c>
      <c r="R15" t="n">
        <v>0.019572</v>
      </c>
      <c r="S15" t="n">
        <v>0.0186249</v>
      </c>
      <c r="T15" t="n">
        <v>0.0250505</v>
      </c>
      <c r="U15" t="n">
        <v>0.0299893</v>
      </c>
      <c r="V15" t="n">
        <v>0.0342153</v>
      </c>
      <c r="W15" t="n">
        <v>0.0397753</v>
      </c>
      <c r="X15" t="n">
        <v>0.0020948</v>
      </c>
      <c r="Y15" t="n">
        <v>0.0020221</v>
      </c>
      <c r="Z15" t="n">
        <v>0.0017166</v>
      </c>
      <c r="AA15" t="n">
        <v>0.0016729</v>
      </c>
      <c r="AB15" t="n">
        <v>0.0012365</v>
      </c>
      <c r="AC15" t="n">
        <v>0.0009165</v>
      </c>
      <c r="AD15" t="n">
        <v>0.0009019</v>
      </c>
      <c r="AE15" t="n">
        <v>0.0008583</v>
      </c>
      <c r="AF15" t="n">
        <v>0.0011929</v>
      </c>
      <c r="AG15" t="n">
        <v>0.001382</v>
      </c>
      <c r="AH15" t="n">
        <v>0.0016293</v>
      </c>
      <c r="AI15" t="n">
        <v>0.001833</v>
      </c>
    </row>
    <row r="16">
      <c r="A16" t="n">
        <v>7</v>
      </c>
      <c r="B16" s="13" t="n">
        <v>46296</v>
      </c>
      <c r="C16" s="13" t="n">
        <v>2958465</v>
      </c>
      <c r="D16" s="13" t="n">
        <v>46296</v>
      </c>
      <c r="E16" t="n">
        <v>1</v>
      </c>
      <c r="G16" t="n">
        <v>0.2654036</v>
      </c>
      <c r="H16" t="n">
        <v>0.1148507</v>
      </c>
      <c r="I16" t="n">
        <v>0.0748373</v>
      </c>
      <c r="J16" t="n">
        <v>0.057397</v>
      </c>
      <c r="K16" t="n">
        <v>0.0982706</v>
      </c>
      <c r="L16" t="n">
        <v>0.0454429</v>
      </c>
      <c r="M16" t="n">
        <v>0.0410452</v>
      </c>
      <c r="N16" t="n">
        <v>0.0369224</v>
      </c>
      <c r="O16" t="n">
        <v>0.0357313</v>
      </c>
      <c r="P16" t="n">
        <v>0.0261928</v>
      </c>
      <c r="Q16" t="n">
        <v>0.0183238</v>
      </c>
      <c r="R16" t="n">
        <v>0.0195657</v>
      </c>
      <c r="S16" t="n">
        <v>0.0173567</v>
      </c>
      <c r="T16" t="n">
        <v>0.0247371</v>
      </c>
      <c r="U16" t="n">
        <v>0.0309264</v>
      </c>
      <c r="V16" t="n">
        <v>0.0348151</v>
      </c>
      <c r="W16" t="n">
        <v>0.0397625</v>
      </c>
      <c r="X16" t="n">
        <v>0.0020941</v>
      </c>
      <c r="Y16" t="n">
        <v>0.0020941</v>
      </c>
      <c r="Z16" t="n">
        <v>0.0017015</v>
      </c>
      <c r="AA16" t="n">
        <v>0.0017015</v>
      </c>
      <c r="AB16" t="n">
        <v>0.001207</v>
      </c>
      <c r="AC16" t="n">
        <v>0.0008726</v>
      </c>
      <c r="AD16" t="n">
        <v>0.0009016</v>
      </c>
      <c r="AE16" t="n">
        <v>0.0007998</v>
      </c>
      <c r="AF16" t="n">
        <v>0.001178</v>
      </c>
      <c r="AG16" t="n">
        <v>0.0014252</v>
      </c>
      <c r="AH16" t="n">
        <v>0.0016579</v>
      </c>
      <c r="AI16" t="n">
        <v>0.0018324</v>
      </c>
    </row>
    <row r="17">
      <c r="A17" t="n">
        <v>8</v>
      </c>
      <c r="B17" s="13" t="n">
        <v>46023</v>
      </c>
      <c r="C17" s="13" t="n">
        <v>46295</v>
      </c>
      <c r="D17" s="13" t="n">
        <v>46023</v>
      </c>
      <c r="E17" t="n">
        <v>0</v>
      </c>
      <c r="F17" s="13" t="n">
        <v>46295</v>
      </c>
      <c r="G17" t="n">
        <v>0.2654889</v>
      </c>
      <c r="H17" t="n">
        <v>0.1140365</v>
      </c>
      <c r="I17" t="n">
        <v>0.07572180000000001</v>
      </c>
      <c r="J17" t="n">
        <v>0.0591553</v>
      </c>
      <c r="K17" t="n">
        <v>0.0965623</v>
      </c>
      <c r="L17" t="n">
        <v>0.0454575</v>
      </c>
      <c r="M17" t="n">
        <v>0.0396327</v>
      </c>
      <c r="N17" t="n">
        <v>0.0372499</v>
      </c>
      <c r="O17" t="n">
        <v>0.0351318</v>
      </c>
      <c r="P17" t="n">
        <v>0.0268325</v>
      </c>
      <c r="Q17" t="n">
        <v>0.0192461</v>
      </c>
      <c r="R17" t="n">
        <v>0.019572</v>
      </c>
      <c r="S17" t="n">
        <v>0.0186249</v>
      </c>
      <c r="T17" t="n">
        <v>0.0250505</v>
      </c>
      <c r="U17" t="n">
        <v>0.0299893</v>
      </c>
      <c r="V17" t="n">
        <v>0.0342153</v>
      </c>
      <c r="W17" t="n">
        <v>0.0397753</v>
      </c>
      <c r="X17" t="n">
        <v>0.0020948</v>
      </c>
      <c r="Y17" t="n">
        <v>0.0020221</v>
      </c>
      <c r="Z17" t="n">
        <v>0.0017166</v>
      </c>
      <c r="AA17" t="n">
        <v>0.0016729</v>
      </c>
      <c r="AB17" t="n">
        <v>0.0012365</v>
      </c>
      <c r="AC17" t="n">
        <v>0.0009165</v>
      </c>
      <c r="AD17" t="n">
        <v>0.0009019</v>
      </c>
      <c r="AE17" t="n">
        <v>0.0008583</v>
      </c>
      <c r="AF17" t="n">
        <v>0.0011929</v>
      </c>
      <c r="AG17" t="n">
        <v>0.001382</v>
      </c>
      <c r="AH17" t="n">
        <v>0.0016293</v>
      </c>
      <c r="AI17" t="n">
        <v>0.001833</v>
      </c>
    </row>
    <row r="18">
      <c r="A18" t="n">
        <v>8</v>
      </c>
      <c r="B18" s="13" t="n">
        <v>46296</v>
      </c>
      <c r="C18" s="13" t="n">
        <v>2958465</v>
      </c>
      <c r="D18" s="13" t="n">
        <v>46296</v>
      </c>
      <c r="E18" t="n">
        <v>1</v>
      </c>
      <c r="G18" t="n">
        <v>0.2654036</v>
      </c>
      <c r="H18" t="n">
        <v>0.1148507</v>
      </c>
      <c r="I18" t="n">
        <v>0.0748373</v>
      </c>
      <c r="J18" t="n">
        <v>0.057397</v>
      </c>
      <c r="K18" t="n">
        <v>0.0982706</v>
      </c>
      <c r="L18" t="n">
        <v>0.0454429</v>
      </c>
      <c r="M18" t="n">
        <v>0.0410452</v>
      </c>
      <c r="N18" t="n">
        <v>0.0369224</v>
      </c>
      <c r="O18" t="n">
        <v>0.0357313</v>
      </c>
      <c r="P18" t="n">
        <v>0.0261928</v>
      </c>
      <c r="Q18" t="n">
        <v>0.0183238</v>
      </c>
      <c r="R18" t="n">
        <v>0.0195657</v>
      </c>
      <c r="S18" t="n">
        <v>0.0173567</v>
      </c>
      <c r="T18" t="n">
        <v>0.0247371</v>
      </c>
      <c r="U18" t="n">
        <v>0.0309264</v>
      </c>
      <c r="V18" t="n">
        <v>0.0348151</v>
      </c>
      <c r="W18" t="n">
        <v>0.0397625</v>
      </c>
      <c r="X18" t="n">
        <v>0.0020941</v>
      </c>
      <c r="Y18" t="n">
        <v>0.0020941</v>
      </c>
      <c r="Z18" t="n">
        <v>0.0017015</v>
      </c>
      <c r="AA18" t="n">
        <v>0.0017015</v>
      </c>
      <c r="AB18" t="n">
        <v>0.001207</v>
      </c>
      <c r="AC18" t="n">
        <v>0.0008726</v>
      </c>
      <c r="AD18" t="n">
        <v>0.0009016</v>
      </c>
      <c r="AE18" t="n">
        <v>0.0007998</v>
      </c>
      <c r="AF18" t="n">
        <v>0.001178</v>
      </c>
      <c r="AG18" t="n">
        <v>0.0014252</v>
      </c>
      <c r="AH18" t="n">
        <v>0.0016579</v>
      </c>
      <c r="AI18" t="n">
        <v>0.0018324</v>
      </c>
    </row>
    <row r="19">
      <c r="A19" t="n">
        <v>9</v>
      </c>
      <c r="B19" s="13" t="n">
        <v>46023</v>
      </c>
      <c r="C19" s="13" t="n">
        <v>46295</v>
      </c>
      <c r="D19" s="13" t="n">
        <v>46023</v>
      </c>
      <c r="E19" t="n">
        <v>0</v>
      </c>
      <c r="F19" s="13" t="n">
        <v>46295</v>
      </c>
      <c r="G19" t="n">
        <v>0.3252076</v>
      </c>
      <c r="H19" t="n">
        <v>0.1396878</v>
      </c>
      <c r="I19" t="n">
        <v>0.0927545</v>
      </c>
      <c r="J19" t="n">
        <v>0.0724616</v>
      </c>
      <c r="K19" t="n">
        <v>0.1182829</v>
      </c>
      <c r="L19" t="n">
        <v>0.0556827</v>
      </c>
      <c r="M19" t="n">
        <v>0.0485477</v>
      </c>
      <c r="N19" t="n">
        <v>0.0456289</v>
      </c>
      <c r="O19" t="n">
        <v>0.0430343</v>
      </c>
      <c r="P19" t="n">
        <v>0.0328682</v>
      </c>
      <c r="Q19" t="n">
        <v>0.0235753</v>
      </c>
      <c r="R19" t="n">
        <v>0.0239745</v>
      </c>
      <c r="S19" t="n">
        <v>0.0228144</v>
      </c>
      <c r="T19" t="n">
        <v>0.0306853</v>
      </c>
      <c r="U19" t="n">
        <v>0.0367351</v>
      </c>
      <c r="V19" t="n">
        <v>0.0419117</v>
      </c>
      <c r="W19" t="n">
        <v>0.0487223</v>
      </c>
      <c r="X19" t="n">
        <v>0.002566</v>
      </c>
      <c r="Y19" t="n">
        <v>0.0024769</v>
      </c>
      <c r="Z19" t="n">
        <v>0.0021027</v>
      </c>
      <c r="AA19" t="n">
        <v>0.0020493</v>
      </c>
      <c r="AB19" t="n">
        <v>0.0015147</v>
      </c>
      <c r="AC19" t="n">
        <v>0.0011226</v>
      </c>
      <c r="AD19" t="n">
        <v>0.0011048</v>
      </c>
      <c r="AE19" t="n">
        <v>0.0010514</v>
      </c>
      <c r="AF19" t="n">
        <v>0.0014612</v>
      </c>
      <c r="AG19" t="n">
        <v>0.0016928</v>
      </c>
      <c r="AH19" t="n">
        <v>0.0019958</v>
      </c>
      <c r="AI19" t="n">
        <v>0.0022453</v>
      </c>
    </row>
    <row r="20">
      <c r="A20" t="n">
        <v>9</v>
      </c>
      <c r="B20" s="13" t="n">
        <v>46296</v>
      </c>
      <c r="C20" s="13" t="n">
        <v>2958465</v>
      </c>
      <c r="D20" s="13" t="n">
        <v>46296</v>
      </c>
      <c r="E20" t="n">
        <v>1</v>
      </c>
      <c r="G20" t="n">
        <v>0.3270835</v>
      </c>
      <c r="H20" t="n">
        <v>0.141542</v>
      </c>
      <c r="I20" t="n">
        <v>0.09222950000000001</v>
      </c>
      <c r="J20" t="n">
        <v>0.0707361</v>
      </c>
      <c r="K20" t="n">
        <v>0.1211087</v>
      </c>
      <c r="L20" t="n">
        <v>0.0560039</v>
      </c>
      <c r="M20" t="n">
        <v>0.0505841</v>
      </c>
      <c r="N20" t="n">
        <v>0.0455031</v>
      </c>
      <c r="O20" t="n">
        <v>0.0440353</v>
      </c>
      <c r="P20" t="n">
        <v>0.03228</v>
      </c>
      <c r="Q20" t="n">
        <v>0.0225822</v>
      </c>
      <c r="R20" t="n">
        <v>0.0241128</v>
      </c>
      <c r="S20" t="n">
        <v>0.0213904</v>
      </c>
      <c r="T20" t="n">
        <v>0.030486</v>
      </c>
      <c r="U20" t="n">
        <v>0.0381137</v>
      </c>
      <c r="V20" t="n">
        <v>0.0429062</v>
      </c>
      <c r="W20" t="n">
        <v>0.0490034</v>
      </c>
      <c r="X20" t="n">
        <v>0.0025808</v>
      </c>
      <c r="Y20" t="n">
        <v>0.0025808</v>
      </c>
      <c r="Z20" t="n">
        <v>0.0020969</v>
      </c>
      <c r="AA20" t="n">
        <v>0.0020969</v>
      </c>
      <c r="AB20" t="n">
        <v>0.0014876</v>
      </c>
      <c r="AC20" t="n">
        <v>0.0010753</v>
      </c>
      <c r="AD20" t="n">
        <v>0.0011112</v>
      </c>
      <c r="AE20" t="n">
        <v>0.0009856999999999999</v>
      </c>
      <c r="AF20" t="n">
        <v>0.0014517</v>
      </c>
      <c r="AG20" t="n">
        <v>0.0017564</v>
      </c>
      <c r="AH20" t="n">
        <v>0.0020432</v>
      </c>
      <c r="AI20" t="n">
        <v>0.0022582</v>
      </c>
    </row>
    <row r="21">
      <c r="A21" t="n">
        <v>10</v>
      </c>
      <c r="B21" s="13" t="n">
        <v>46023</v>
      </c>
      <c r="C21" s="13" t="n">
        <v>46295</v>
      </c>
      <c r="D21" s="13" t="n">
        <v>46023</v>
      </c>
      <c r="E21" t="n">
        <v>0</v>
      </c>
      <c r="F21" s="13" t="n">
        <v>46295</v>
      </c>
      <c r="G21" t="n">
        <v>0.2150324</v>
      </c>
      <c r="H21" t="n">
        <v>0.0923638</v>
      </c>
      <c r="I21" t="n">
        <v>0.0613308</v>
      </c>
      <c r="J21" t="n">
        <v>0.0479128</v>
      </c>
      <c r="K21" t="n">
        <v>0.0782105</v>
      </c>
      <c r="L21" t="n">
        <v>0.0368183</v>
      </c>
      <c r="M21" t="n">
        <v>0.0321005</v>
      </c>
      <c r="N21" t="n">
        <v>0.0301705</v>
      </c>
      <c r="O21" t="n">
        <v>0.028455</v>
      </c>
      <c r="P21" t="n">
        <v>0.021733</v>
      </c>
      <c r="Q21" t="n">
        <v>0.0155884</v>
      </c>
      <c r="R21" t="n">
        <v>0.0158523</v>
      </c>
      <c r="S21" t="n">
        <v>0.0150853</v>
      </c>
      <c r="T21" t="n">
        <v>0.0202896</v>
      </c>
      <c r="U21" t="n">
        <v>0.0242898</v>
      </c>
      <c r="V21" t="n">
        <v>0.0277127</v>
      </c>
      <c r="W21" t="n">
        <v>0.032216</v>
      </c>
      <c r="X21" t="n">
        <v>0.0016967</v>
      </c>
      <c r="Y21" t="n">
        <v>0.0016378</v>
      </c>
      <c r="Z21" t="n">
        <v>0.0013904</v>
      </c>
      <c r="AA21" t="n">
        <v>0.001355</v>
      </c>
      <c r="AB21" t="n">
        <v>0.0010015</v>
      </c>
      <c r="AC21" t="n">
        <v>0.0007423</v>
      </c>
      <c r="AD21" t="n">
        <v>0.0007305</v>
      </c>
      <c r="AE21" t="n">
        <v>0.0006952</v>
      </c>
      <c r="AF21" t="n">
        <v>0.0009662</v>
      </c>
      <c r="AG21" t="n">
        <v>0.0011194</v>
      </c>
      <c r="AH21" t="n">
        <v>0.0013196</v>
      </c>
      <c r="AI21" t="n">
        <v>0.0014846</v>
      </c>
    </row>
    <row r="22">
      <c r="A22" t="n">
        <v>10</v>
      </c>
      <c r="B22" s="13" t="n">
        <v>46296</v>
      </c>
      <c r="C22" s="13" t="n">
        <v>2958465</v>
      </c>
      <c r="D22" s="13" t="n">
        <v>46296</v>
      </c>
      <c r="E22" t="n">
        <v>1</v>
      </c>
      <c r="G22" t="n">
        <v>0.2073493</v>
      </c>
      <c r="H22" t="n">
        <v>0.0897283</v>
      </c>
      <c r="I22" t="n">
        <v>0.0584674</v>
      </c>
      <c r="J22" t="n">
        <v>0.044842</v>
      </c>
      <c r="K22" t="n">
        <v>0.07677489999999999</v>
      </c>
      <c r="L22" t="n">
        <v>0.0355027</v>
      </c>
      <c r="M22" t="n">
        <v>0.032067</v>
      </c>
      <c r="N22" t="n">
        <v>0.028846</v>
      </c>
      <c r="O22" t="n">
        <v>0.0279155</v>
      </c>
      <c r="P22" t="n">
        <v>0.0204634</v>
      </c>
      <c r="Q22" t="n">
        <v>0.0143156</v>
      </c>
      <c r="R22" t="n">
        <v>0.0152859</v>
      </c>
      <c r="S22" t="n">
        <v>0.0135601</v>
      </c>
      <c r="T22" t="n">
        <v>0.0193261</v>
      </c>
      <c r="U22" t="n">
        <v>0.0241616</v>
      </c>
      <c r="V22" t="n">
        <v>0.0271997</v>
      </c>
      <c r="W22" t="n">
        <v>0.0310649</v>
      </c>
      <c r="X22" t="n">
        <v>0.0016361</v>
      </c>
      <c r="Y22" t="n">
        <v>0.0016361</v>
      </c>
      <c r="Z22" t="n">
        <v>0.0013293</v>
      </c>
      <c r="AA22" t="n">
        <v>0.0013293</v>
      </c>
      <c r="AB22" t="n">
        <v>0.000943</v>
      </c>
      <c r="AC22" t="n">
        <v>0.0006817</v>
      </c>
      <c r="AD22" t="n">
        <v>0.0007044</v>
      </c>
      <c r="AE22" t="n">
        <v>0.0006249</v>
      </c>
      <c r="AF22" t="n">
        <v>0.0009203</v>
      </c>
      <c r="AG22" t="n">
        <v>0.0011134</v>
      </c>
      <c r="AH22" t="n">
        <v>0.0012952</v>
      </c>
      <c r="AI22" t="n">
        <v>0.0014316</v>
      </c>
    </row>
    <row r="23">
      <c r="A23" t="n">
        <v>11</v>
      </c>
      <c r="B23" s="13" t="n">
        <v>46023</v>
      </c>
      <c r="C23" s="13" t="n">
        <v>46295</v>
      </c>
      <c r="D23" s="13" t="n">
        <v>46023</v>
      </c>
      <c r="E23" t="n">
        <v>0</v>
      </c>
      <c r="F23" s="13" t="n">
        <v>46295</v>
      </c>
      <c r="G23" t="n">
        <v>0.1772807</v>
      </c>
      <c r="H23" t="n">
        <v>0.0761481</v>
      </c>
      <c r="I23" t="n">
        <v>0.0505634</v>
      </c>
      <c r="J23" t="n">
        <v>0.0395011</v>
      </c>
      <c r="K23" t="n">
        <v>0.0644797</v>
      </c>
      <c r="L23" t="n">
        <v>0.0303543</v>
      </c>
      <c r="M23" t="n">
        <v>0.0264649</v>
      </c>
      <c r="N23" t="n">
        <v>0.0248737</v>
      </c>
      <c r="O23" t="n">
        <v>0.0234593</v>
      </c>
      <c r="P23" t="n">
        <v>0.0179175</v>
      </c>
      <c r="Q23" t="n">
        <v>0.0128516</v>
      </c>
      <c r="R23" t="n">
        <v>0.0130692</v>
      </c>
      <c r="S23" t="n">
        <v>0.0124369</v>
      </c>
      <c r="T23" t="n">
        <v>0.0167275</v>
      </c>
      <c r="U23" t="n">
        <v>0.0200255</v>
      </c>
      <c r="V23" t="n">
        <v>0.0228474</v>
      </c>
      <c r="W23" t="n">
        <v>0.0265601</v>
      </c>
      <c r="X23" t="n">
        <v>0.0013988</v>
      </c>
      <c r="Y23" t="n">
        <v>0.0013503</v>
      </c>
      <c r="Z23" t="n">
        <v>0.0011463</v>
      </c>
      <c r="AA23" t="n">
        <v>0.0011171</v>
      </c>
      <c r="AB23" t="n">
        <v>0.0008257</v>
      </c>
      <c r="AC23" t="n">
        <v>0.000612</v>
      </c>
      <c r="AD23" t="n">
        <v>0.0006022999999999999</v>
      </c>
      <c r="AE23" t="n">
        <v>0.0005731</v>
      </c>
      <c r="AF23" t="n">
        <v>0.0007965</v>
      </c>
      <c r="AG23" t="n">
        <v>0.0009228</v>
      </c>
      <c r="AH23" t="n">
        <v>0.001088</v>
      </c>
      <c r="AI23" t="n">
        <v>0.001224</v>
      </c>
    </row>
    <row r="24">
      <c r="A24" t="n">
        <v>11</v>
      </c>
      <c r="B24" s="13" t="n">
        <v>46296</v>
      </c>
      <c r="C24" s="13" t="n">
        <v>2958465</v>
      </c>
      <c r="D24" s="13" t="n">
        <v>46296</v>
      </c>
      <c r="E24" t="n">
        <v>1</v>
      </c>
      <c r="G24" t="n">
        <v>0.1778454</v>
      </c>
      <c r="H24" t="n">
        <v>0.0769608</v>
      </c>
      <c r="I24" t="n">
        <v>0.050148</v>
      </c>
      <c r="J24" t="n">
        <v>0.0384614</v>
      </c>
      <c r="K24" t="n">
        <v>0.06585050000000001</v>
      </c>
      <c r="L24" t="n">
        <v>0.030451</v>
      </c>
      <c r="M24" t="n">
        <v>0.0275042</v>
      </c>
      <c r="N24" t="n">
        <v>0.0247415</v>
      </c>
      <c r="O24" t="n">
        <v>0.0239434</v>
      </c>
      <c r="P24" t="n">
        <v>0.0175516</v>
      </c>
      <c r="Q24" t="n">
        <v>0.0122786</v>
      </c>
      <c r="R24" t="n">
        <v>0.0131109</v>
      </c>
      <c r="S24" t="n">
        <v>0.0116306</v>
      </c>
      <c r="T24" t="n">
        <v>0.0165762</v>
      </c>
      <c r="U24" t="n">
        <v>0.0207236</v>
      </c>
      <c r="V24" t="n">
        <v>0.0233294</v>
      </c>
      <c r="W24" t="n">
        <v>0.0266447</v>
      </c>
      <c r="X24" t="n">
        <v>0.0014033</v>
      </c>
      <c r="Y24" t="n">
        <v>0.0014033</v>
      </c>
      <c r="Z24" t="n">
        <v>0.0011402</v>
      </c>
      <c r="AA24" t="n">
        <v>0.0011402</v>
      </c>
      <c r="AB24" t="n">
        <v>0.0008088</v>
      </c>
      <c r="AC24" t="n">
        <v>0.0005847</v>
      </c>
      <c r="AD24" t="n">
        <v>0.0006042</v>
      </c>
      <c r="AE24" t="n">
        <v>0.000536</v>
      </c>
      <c r="AF24" t="n">
        <v>0.0007893</v>
      </c>
      <c r="AG24" t="n">
        <v>0.000955</v>
      </c>
      <c r="AH24" t="n">
        <v>0.0011109</v>
      </c>
      <c r="AI24" t="n">
        <v>0.0012279</v>
      </c>
    </row>
    <row r="25">
      <c r="A25" t="n">
        <v>12</v>
      </c>
      <c r="B25" s="13" t="n">
        <v>46023</v>
      </c>
      <c r="C25" s="13" t="n">
        <v>46295</v>
      </c>
      <c r="D25" s="13" t="n">
        <v>46023</v>
      </c>
      <c r="E25" t="n">
        <v>0</v>
      </c>
      <c r="F25" s="13" t="n">
        <v>46295</v>
      </c>
      <c r="G25" t="n">
        <v>0.1395938</v>
      </c>
      <c r="H25" t="n">
        <v>0.0599603</v>
      </c>
      <c r="I25" t="n">
        <v>0.0398145</v>
      </c>
      <c r="J25" t="n">
        <v>0.0311038</v>
      </c>
      <c r="K25" t="n">
        <v>0.0507724</v>
      </c>
      <c r="L25" t="n">
        <v>0.0239015</v>
      </c>
      <c r="M25" t="n">
        <v>0.0208389</v>
      </c>
      <c r="N25" t="n">
        <v>0.019586</v>
      </c>
      <c r="O25" t="n">
        <v>0.0184723</v>
      </c>
      <c r="P25" t="n">
        <v>0.0141085</v>
      </c>
      <c r="Q25" t="n">
        <v>0.0101196</v>
      </c>
      <c r="R25" t="n">
        <v>0.0102909</v>
      </c>
      <c r="S25" t="n">
        <v>0.009793</v>
      </c>
      <c r="T25" t="n">
        <v>0.0131715</v>
      </c>
      <c r="U25" t="n">
        <v>0.0157683</v>
      </c>
      <c r="V25" t="n">
        <v>0.0179904</v>
      </c>
      <c r="W25" t="n">
        <v>0.0209138</v>
      </c>
      <c r="X25" t="n">
        <v>0.0011015</v>
      </c>
      <c r="Y25" t="n">
        <v>0.0010632</v>
      </c>
      <c r="Z25" t="n">
        <v>0.0009026</v>
      </c>
      <c r="AA25" t="n">
        <v>0.0008796</v>
      </c>
      <c r="AB25" t="n">
        <v>0.0006502</v>
      </c>
      <c r="AC25" t="n">
        <v>0.0004819</v>
      </c>
      <c r="AD25" t="n">
        <v>0.0004742</v>
      </c>
      <c r="AE25" t="n">
        <v>0.0004513</v>
      </c>
      <c r="AF25" t="n">
        <v>0.0006272</v>
      </c>
      <c r="AG25" t="n">
        <v>0.0007266</v>
      </c>
      <c r="AH25" t="n">
        <v>0.0008567</v>
      </c>
      <c r="AI25" t="n">
        <v>0.0009638</v>
      </c>
    </row>
    <row r="26">
      <c r="A26" t="n">
        <v>12</v>
      </c>
      <c r="B26" s="13" t="n">
        <v>46296</v>
      </c>
      <c r="C26" s="13" t="n">
        <v>2958465</v>
      </c>
      <c r="D26" s="13" t="n">
        <v>46296</v>
      </c>
      <c r="E26" t="n">
        <v>1</v>
      </c>
      <c r="G26" t="n">
        <v>0.1326972</v>
      </c>
      <c r="H26" t="n">
        <v>0.0574233</v>
      </c>
      <c r="I26" t="n">
        <v>0.0374173</v>
      </c>
      <c r="J26" t="n">
        <v>0.0286975</v>
      </c>
      <c r="K26" t="n">
        <v>0.0491336</v>
      </c>
      <c r="L26" t="n">
        <v>0.0227207</v>
      </c>
      <c r="M26" t="n">
        <v>0.0205219</v>
      </c>
      <c r="N26" t="n">
        <v>0.0184065</v>
      </c>
      <c r="O26" t="n">
        <v>0.017865</v>
      </c>
      <c r="P26" t="n">
        <v>0.0130959</v>
      </c>
      <c r="Q26" t="n">
        <v>0.009161600000000001</v>
      </c>
      <c r="R26" t="n">
        <v>0.0097825</v>
      </c>
      <c r="S26" t="n">
        <v>0.008678</v>
      </c>
      <c r="T26" t="n">
        <v>0.0123681</v>
      </c>
      <c r="U26" t="n">
        <v>0.0154627</v>
      </c>
      <c r="V26" t="n">
        <v>0.017407</v>
      </c>
      <c r="W26" t="n">
        <v>0.0198806</v>
      </c>
      <c r="X26" t="n">
        <v>0.001047</v>
      </c>
      <c r="Y26" t="n">
        <v>0.001047</v>
      </c>
      <c r="Z26" t="n">
        <v>0.0008507</v>
      </c>
      <c r="AA26" t="n">
        <v>0.0008507</v>
      </c>
      <c r="AB26" t="n">
        <v>0.0006035</v>
      </c>
      <c r="AC26" t="n">
        <v>0.0004363</v>
      </c>
      <c r="AD26" t="n">
        <v>0.0004508</v>
      </c>
      <c r="AE26" t="n">
        <v>0.0003999</v>
      </c>
      <c r="AF26" t="n">
        <v>0.000589</v>
      </c>
      <c r="AG26" t="n">
        <v>0.0007126</v>
      </c>
      <c r="AH26" t="n">
        <v>0.0008289</v>
      </c>
      <c r="AI26" t="n">
        <v>0.0009162</v>
      </c>
    </row>
    <row r="27">
      <c r="A27" t="n">
        <v>13</v>
      </c>
      <c r="B27" s="13" t="n">
        <v>46023</v>
      </c>
      <c r="C27" s="13" t="n">
        <v>46295</v>
      </c>
      <c r="D27" s="13" t="n">
        <v>46023</v>
      </c>
      <c r="E27" t="n">
        <v>0</v>
      </c>
      <c r="F27" s="13" t="n">
        <v>46295</v>
      </c>
      <c r="G27" t="n">
        <v>0.1647855</v>
      </c>
      <c r="H27" t="n">
        <v>0.070781</v>
      </c>
      <c r="I27" t="n">
        <v>0.0469995</v>
      </c>
      <c r="J27" t="n">
        <v>0.0367169</v>
      </c>
      <c r="K27" t="n">
        <v>0.059935</v>
      </c>
      <c r="L27" t="n">
        <v>0.0282149</v>
      </c>
      <c r="M27" t="n">
        <v>0.0245995</v>
      </c>
      <c r="N27" t="n">
        <v>0.0231205</v>
      </c>
      <c r="O27" t="n">
        <v>0.0218059</v>
      </c>
      <c r="P27" t="n">
        <v>0.0166546</v>
      </c>
      <c r="Q27" t="n">
        <v>0.0119458</v>
      </c>
      <c r="R27" t="n">
        <v>0.0121481</v>
      </c>
      <c r="S27" t="n">
        <v>0.0115603</v>
      </c>
      <c r="T27" t="n">
        <v>0.0155485</v>
      </c>
      <c r="U27" t="n">
        <v>0.018614</v>
      </c>
      <c r="V27" t="n">
        <v>0.021237</v>
      </c>
      <c r="W27" t="n">
        <v>0.024688</v>
      </c>
      <c r="X27" t="n">
        <v>0.0013002</v>
      </c>
      <c r="Y27" t="n">
        <v>0.0012551</v>
      </c>
      <c r="Z27" t="n">
        <v>0.0010655</v>
      </c>
      <c r="AA27" t="n">
        <v>0.0010384</v>
      </c>
      <c r="AB27" t="n">
        <v>0.0007675</v>
      </c>
      <c r="AC27" t="n">
        <v>0.0005689</v>
      </c>
      <c r="AD27" t="n">
        <v>0.0005597999999999999</v>
      </c>
      <c r="AE27" t="n">
        <v>0.0005327</v>
      </c>
      <c r="AF27" t="n">
        <v>0.0007404</v>
      </c>
      <c r="AG27" t="n">
        <v>0.0008578</v>
      </c>
      <c r="AH27" t="n">
        <v>0.0010113</v>
      </c>
      <c r="AI27" t="n">
        <v>0.0011377</v>
      </c>
    </row>
    <row r="28">
      <c r="A28" t="n">
        <v>13</v>
      </c>
      <c r="B28" s="13" t="n">
        <v>46296</v>
      </c>
      <c r="C28" s="13" t="n">
        <v>2958465</v>
      </c>
      <c r="D28" s="13" t="n">
        <v>46296</v>
      </c>
      <c r="E28" t="n">
        <v>1</v>
      </c>
      <c r="G28" t="n">
        <v>0.1663607</v>
      </c>
      <c r="H28" t="n">
        <v>0.0719909</v>
      </c>
      <c r="I28" t="n">
        <v>0.0469096</v>
      </c>
      <c r="J28" t="n">
        <v>0.0359777</v>
      </c>
      <c r="K28" t="n">
        <v>0.0615981</v>
      </c>
      <c r="L28" t="n">
        <v>0.0284846</v>
      </c>
      <c r="M28" t="n">
        <v>0.025728</v>
      </c>
      <c r="N28" t="n">
        <v>0.0231437</v>
      </c>
      <c r="O28" t="n">
        <v>0.0223972</v>
      </c>
      <c r="P28" t="n">
        <v>0.0164182</v>
      </c>
      <c r="Q28" t="n">
        <v>0.0114857</v>
      </c>
      <c r="R28" t="n">
        <v>0.0122642</v>
      </c>
      <c r="S28" t="n">
        <v>0.0108795</v>
      </c>
      <c r="T28" t="n">
        <v>0.0155057</v>
      </c>
      <c r="U28" t="n">
        <v>0.0193854</v>
      </c>
      <c r="V28" t="n">
        <v>0.0218229</v>
      </c>
      <c r="W28" t="n">
        <v>0.0242924</v>
      </c>
      <c r="X28" t="n">
        <v>0.0013127</v>
      </c>
      <c r="Y28" t="n">
        <v>0.0013127</v>
      </c>
      <c r="Z28" t="n">
        <v>0.0010665</v>
      </c>
      <c r="AA28" t="n">
        <v>0.0010665</v>
      </c>
      <c r="AB28" t="n">
        <v>0.0007566</v>
      </c>
      <c r="AC28" t="n">
        <v>0.0005469</v>
      </c>
      <c r="AD28" t="n">
        <v>0.0005652</v>
      </c>
      <c r="AE28" t="n">
        <v>0.0005014</v>
      </c>
      <c r="AF28" t="n">
        <v>0.0007384</v>
      </c>
      <c r="AG28" t="n">
        <v>0.0008933</v>
      </c>
      <c r="AH28" t="n">
        <v>0.0010392</v>
      </c>
      <c r="AI28" t="n">
        <v>0.0011486</v>
      </c>
    </row>
    <row r="29">
      <c r="A29" t="n">
        <v>14</v>
      </c>
      <c r="B29" s="13" t="n">
        <v>46023</v>
      </c>
      <c r="C29" s="13" t="n">
        <v>46295</v>
      </c>
      <c r="D29" s="13" t="n">
        <v>46023</v>
      </c>
      <c r="E29" t="n">
        <v>0</v>
      </c>
      <c r="F29" s="13" t="n">
        <v>46295</v>
      </c>
      <c r="G29" t="n">
        <v>0.1647738</v>
      </c>
      <c r="H29" t="n">
        <v>0.07077600000000001</v>
      </c>
      <c r="I29" t="n">
        <v>0.0469962</v>
      </c>
      <c r="J29" t="n">
        <v>0.0367143</v>
      </c>
      <c r="K29" t="n">
        <v>0.0599307</v>
      </c>
      <c r="L29" t="n">
        <v>0.0282129</v>
      </c>
      <c r="M29" t="n">
        <v>0.0245978</v>
      </c>
      <c r="N29" t="n">
        <v>0.0231189</v>
      </c>
      <c r="O29" t="n">
        <v>0.0218043</v>
      </c>
      <c r="P29" t="n">
        <v>0.0166534</v>
      </c>
      <c r="Q29" t="n">
        <v>0.011945</v>
      </c>
      <c r="R29" t="n">
        <v>0.0121472</v>
      </c>
      <c r="S29" t="n">
        <v>0.0115594</v>
      </c>
      <c r="T29" t="n">
        <v>0.0155474</v>
      </c>
      <c r="U29" t="n">
        <v>0.0186127</v>
      </c>
      <c r="V29" t="n">
        <v>0.0212355</v>
      </c>
      <c r="W29" t="n">
        <v>0.0246863</v>
      </c>
      <c r="X29" t="n">
        <v>0.0013001</v>
      </c>
      <c r="Y29" t="n">
        <v>0.001255</v>
      </c>
      <c r="Z29" t="n">
        <v>0.0010654</v>
      </c>
      <c r="AA29" t="n">
        <v>0.0010383</v>
      </c>
      <c r="AB29" t="n">
        <v>0.0007674</v>
      </c>
      <c r="AC29" t="n">
        <v>0.0005687999999999999</v>
      </c>
      <c r="AD29" t="n">
        <v>0.0005597999999999999</v>
      </c>
      <c r="AE29" t="n">
        <v>0.0005327</v>
      </c>
      <c r="AF29" t="n">
        <v>0.0007404</v>
      </c>
      <c r="AG29" t="n">
        <v>0.0008577</v>
      </c>
      <c r="AH29" t="n">
        <v>0.0010112</v>
      </c>
      <c r="AI29" t="n">
        <v>0.0011376</v>
      </c>
    </row>
    <row r="30">
      <c r="A30" t="n">
        <v>14</v>
      </c>
      <c r="B30" s="13" t="n">
        <v>46296</v>
      </c>
      <c r="C30" s="13" t="n">
        <v>2958465</v>
      </c>
      <c r="D30" s="13" t="n">
        <v>46296</v>
      </c>
      <c r="E30" t="n">
        <v>1</v>
      </c>
      <c r="G30" t="n">
        <v>0.1668688</v>
      </c>
      <c r="H30" t="n">
        <v>0.07221080000000001</v>
      </c>
      <c r="I30" t="n">
        <v>0.0470529</v>
      </c>
      <c r="J30" t="n">
        <v>0.0360875</v>
      </c>
      <c r="K30" t="n">
        <v>0.0617863</v>
      </c>
      <c r="L30" t="n">
        <v>0.0285716</v>
      </c>
      <c r="M30" t="n">
        <v>0.0258066</v>
      </c>
      <c r="N30" t="n">
        <v>0.0232144</v>
      </c>
      <c r="O30" t="n">
        <v>0.0224656</v>
      </c>
      <c r="P30" t="n">
        <v>0.0164684</v>
      </c>
      <c r="Q30" t="n">
        <v>0.0115208</v>
      </c>
      <c r="R30" t="n">
        <v>0.0123017</v>
      </c>
      <c r="S30" t="n">
        <v>0.0109128</v>
      </c>
      <c r="T30" t="n">
        <v>0.0155531</v>
      </c>
      <c r="U30" t="n">
        <v>0.0194446</v>
      </c>
      <c r="V30" t="n">
        <v>0.0218895</v>
      </c>
      <c r="W30" t="n">
        <v>0.0250001</v>
      </c>
      <c r="X30" t="n">
        <v>0.0013167</v>
      </c>
      <c r="Y30" t="n">
        <v>0.0013167</v>
      </c>
      <c r="Z30" t="n">
        <v>0.0010698</v>
      </c>
      <c r="AA30" t="n">
        <v>0.0010698</v>
      </c>
      <c r="AB30" t="n">
        <v>0.0007589</v>
      </c>
      <c r="AC30" t="n">
        <v>0.0005486</v>
      </c>
      <c r="AD30" t="n">
        <v>0.0005669</v>
      </c>
      <c r="AE30" t="n">
        <v>0.0005029</v>
      </c>
      <c r="AF30" t="n">
        <v>0.0007406</v>
      </c>
      <c r="AG30" t="n">
        <v>0.0008961</v>
      </c>
      <c r="AH30" t="n">
        <v>0.0010424</v>
      </c>
      <c r="AI30" t="n">
        <v>0.0011521</v>
      </c>
    </row>
    <row r="31">
      <c r="A31" t="n">
        <v>15</v>
      </c>
      <c r="B31" s="13" t="n">
        <v>46023</v>
      </c>
      <c r="C31" s="13" t="n">
        <v>46387</v>
      </c>
      <c r="D31" s="13" t="n">
        <v>46023</v>
      </c>
      <c r="E31" t="n">
        <v>0</v>
      </c>
      <c r="F31" s="13" t="n">
        <v>46387</v>
      </c>
      <c r="G31" t="n">
        <v>3.5742399</v>
      </c>
      <c r="H31" t="n">
        <v>1.21578015</v>
      </c>
      <c r="I31" t="n">
        <v>1.22928882</v>
      </c>
      <c r="J31" t="n">
        <v>1.24279749</v>
      </c>
      <c r="K31" t="n">
        <v>1.24279749</v>
      </c>
      <c r="L31" t="n">
        <v>0.4492467</v>
      </c>
      <c r="M31" t="n">
        <v>0.40577122</v>
      </c>
      <c r="N31" t="n">
        <v>0.4492467</v>
      </c>
      <c r="O31" t="n">
        <v>0.43475487</v>
      </c>
      <c r="P31" t="n">
        <v>0.4492467</v>
      </c>
      <c r="Q31" t="n">
        <v>0.43475487</v>
      </c>
      <c r="R31" t="n">
        <v>0.4492467</v>
      </c>
      <c r="S31" t="n">
        <v>0.4492467</v>
      </c>
      <c r="T31" t="n">
        <v>0.43475487</v>
      </c>
      <c r="U31" t="n">
        <v>0.4492467</v>
      </c>
      <c r="V31" t="n">
        <v>0.43475487</v>
      </c>
      <c r="W31" t="n">
        <v>0.4492467</v>
      </c>
      <c r="X31" t="n">
        <v>0.02909725</v>
      </c>
      <c r="Y31" t="n">
        <v>0.02909725</v>
      </c>
      <c r="Z31" t="n">
        <v>0.02909725</v>
      </c>
      <c r="AA31" t="n">
        <v>0.02909725</v>
      </c>
      <c r="AB31" t="n">
        <v>0.02909725</v>
      </c>
      <c r="AC31" t="n">
        <v>0.02909725</v>
      </c>
      <c r="AD31" t="n">
        <v>0.02909725</v>
      </c>
      <c r="AE31" t="n">
        <v>0.02909725</v>
      </c>
      <c r="AF31" t="n">
        <v>0.02909725</v>
      </c>
      <c r="AG31" t="n">
        <v>0.02909725</v>
      </c>
      <c r="AH31" t="n">
        <v>0.02909725</v>
      </c>
      <c r="AI31" t="n">
        <v>0.02909725</v>
      </c>
    </row>
    <row r="32">
      <c r="A32" t="n">
        <v>15</v>
      </c>
      <c r="B32" s="13" t="n">
        <v>46388</v>
      </c>
      <c r="C32" s="13" t="n">
        <v>2958465</v>
      </c>
      <c r="D32" s="13" t="n">
        <v>46388</v>
      </c>
      <c r="E32" t="n">
        <v>1</v>
      </c>
      <c r="G32" t="n">
        <v>3.7509292</v>
      </c>
      <c r="H32" t="n">
        <v>1.27588114</v>
      </c>
      <c r="I32" t="n">
        <v>1.29005759</v>
      </c>
      <c r="J32" t="n">
        <v>1.30423405</v>
      </c>
      <c r="K32" t="n">
        <v>1.30423405</v>
      </c>
      <c r="L32" t="n">
        <v>0.4714548</v>
      </c>
      <c r="M32" t="n">
        <v>0.42583015</v>
      </c>
      <c r="N32" t="n">
        <v>0.4714548</v>
      </c>
      <c r="O32" t="n">
        <v>0.45624659</v>
      </c>
      <c r="P32" t="n">
        <v>0.4714548</v>
      </c>
      <c r="Q32" t="n">
        <v>0.45624659</v>
      </c>
      <c r="R32" t="n">
        <v>0.4714548</v>
      </c>
      <c r="S32" t="n">
        <v>0.4714548</v>
      </c>
      <c r="T32" t="n">
        <v>0.45624659</v>
      </c>
      <c r="U32" t="n">
        <v>0.4714548</v>
      </c>
      <c r="V32" t="n">
        <v>0.45624659</v>
      </c>
      <c r="W32" t="n">
        <v>0.4714548</v>
      </c>
      <c r="X32" t="n">
        <v>0.03053565</v>
      </c>
      <c r="Y32" t="n">
        <v>0.03053565</v>
      </c>
      <c r="Z32" t="n">
        <v>0.03053565</v>
      </c>
      <c r="AA32" t="n">
        <v>0.03053565</v>
      </c>
      <c r="AB32" t="n">
        <v>0.03053565</v>
      </c>
      <c r="AC32" t="n">
        <v>0.03053565</v>
      </c>
      <c r="AD32" t="n">
        <v>0.03053565</v>
      </c>
      <c r="AE32" t="n">
        <v>0.03053565</v>
      </c>
      <c r="AF32" t="n">
        <v>0.03053565</v>
      </c>
      <c r="AG32" t="n">
        <v>0.03053565</v>
      </c>
      <c r="AH32" t="n">
        <v>0.03053565</v>
      </c>
      <c r="AI32" t="n">
        <v>0.03053565</v>
      </c>
    </row>
    <row r="33">
      <c r="A33" t="n">
        <v>16</v>
      </c>
      <c r="B33" s="13" t="n">
        <v>46023</v>
      </c>
      <c r="C33" s="13" t="n">
        <v>46387</v>
      </c>
      <c r="D33" s="13" t="n">
        <v>46023</v>
      </c>
      <c r="E33" t="n">
        <v>0</v>
      </c>
      <c r="F33" s="13" t="n">
        <v>46387</v>
      </c>
      <c r="G33" t="n">
        <v>3.5742399</v>
      </c>
      <c r="H33" t="n">
        <v>1.21578015</v>
      </c>
      <c r="I33" t="n">
        <v>1.22928882</v>
      </c>
      <c r="J33" t="n">
        <v>1.24279749</v>
      </c>
      <c r="K33" t="n">
        <v>1.24279749</v>
      </c>
      <c r="L33" t="n">
        <v>0.4492467</v>
      </c>
      <c r="M33" t="n">
        <v>0.40577122</v>
      </c>
      <c r="N33" t="n">
        <v>0.4492467</v>
      </c>
      <c r="O33" t="n">
        <v>0.43475487</v>
      </c>
      <c r="P33" t="n">
        <v>0.4492467</v>
      </c>
      <c r="Q33" t="n">
        <v>0.43475487</v>
      </c>
      <c r="R33" t="n">
        <v>0.4492467</v>
      </c>
      <c r="S33" t="n">
        <v>0.4492467</v>
      </c>
      <c r="T33" t="n">
        <v>0.43475487</v>
      </c>
      <c r="U33" t="n">
        <v>0.4492467</v>
      </c>
      <c r="V33" t="n">
        <v>0.43475487</v>
      </c>
      <c r="W33" t="n">
        <v>0.4492467</v>
      </c>
      <c r="X33" t="n">
        <v>0.02909725</v>
      </c>
      <c r="Y33" t="n">
        <v>0.02909725</v>
      </c>
      <c r="Z33" t="n">
        <v>0.02909725</v>
      </c>
      <c r="AA33" t="n">
        <v>0.02909725</v>
      </c>
      <c r="AB33" t="n">
        <v>0.02909725</v>
      </c>
      <c r="AC33" t="n">
        <v>0.02909725</v>
      </c>
      <c r="AD33" t="n">
        <v>0.02909725</v>
      </c>
      <c r="AE33" t="n">
        <v>0.02909725</v>
      </c>
      <c r="AF33" t="n">
        <v>0.02909725</v>
      </c>
      <c r="AG33" t="n">
        <v>0.02909725</v>
      </c>
      <c r="AH33" t="n">
        <v>0.02909725</v>
      </c>
      <c r="AI33" t="n">
        <v>0.02909725</v>
      </c>
    </row>
    <row r="34">
      <c r="A34" t="n">
        <v>16</v>
      </c>
      <c r="B34" s="13" t="n">
        <v>46388</v>
      </c>
      <c r="C34" s="13" t="n">
        <v>2958465</v>
      </c>
      <c r="D34" s="13" t="n">
        <v>46388</v>
      </c>
      <c r="E34" t="n">
        <v>1</v>
      </c>
      <c r="G34" t="n">
        <v>3.7509292</v>
      </c>
      <c r="H34" t="n">
        <v>1.27588114</v>
      </c>
      <c r="I34" t="n">
        <v>1.29005759</v>
      </c>
      <c r="J34" t="n">
        <v>1.30423405</v>
      </c>
      <c r="K34" t="n">
        <v>1.30423405</v>
      </c>
      <c r="L34" t="n">
        <v>0.4714548</v>
      </c>
      <c r="M34" t="n">
        <v>0.42583015</v>
      </c>
      <c r="N34" t="n">
        <v>0.4714548</v>
      </c>
      <c r="O34" t="n">
        <v>0.45624659</v>
      </c>
      <c r="P34" t="n">
        <v>0.4714548</v>
      </c>
      <c r="Q34" t="n">
        <v>0.45624659</v>
      </c>
      <c r="R34" t="n">
        <v>0.4714548</v>
      </c>
      <c r="S34" t="n">
        <v>0.4714548</v>
      </c>
      <c r="T34" t="n">
        <v>0.45624659</v>
      </c>
      <c r="U34" t="n">
        <v>0.4714548</v>
      </c>
      <c r="V34" t="n">
        <v>0.45624659</v>
      </c>
      <c r="W34" t="n">
        <v>0.4714548</v>
      </c>
      <c r="X34" t="n">
        <v>0.03053565</v>
      </c>
      <c r="Y34" t="n">
        <v>0.03053565</v>
      </c>
      <c r="Z34" t="n">
        <v>0.03053565</v>
      </c>
      <c r="AA34" t="n">
        <v>0.03053565</v>
      </c>
      <c r="AB34" t="n">
        <v>0.03053565</v>
      </c>
      <c r="AC34" t="n">
        <v>0.03053565</v>
      </c>
      <c r="AD34" t="n">
        <v>0.03053565</v>
      </c>
      <c r="AE34" t="n">
        <v>0.03053565</v>
      </c>
      <c r="AF34" t="n">
        <v>0.03053565</v>
      </c>
      <c r="AG34" t="n">
        <v>0.03053565</v>
      </c>
      <c r="AH34" t="n">
        <v>0.03053565</v>
      </c>
      <c r="AI34" t="n">
        <v>0.03053565</v>
      </c>
    </row>
    <row r="35">
      <c r="A35" t="n">
        <v>17</v>
      </c>
      <c r="B35" s="13" t="n">
        <v>46023</v>
      </c>
      <c r="C35" s="13" t="n">
        <v>46387</v>
      </c>
      <c r="D35" s="13" t="n">
        <v>46023</v>
      </c>
      <c r="E35" t="n">
        <v>0</v>
      </c>
      <c r="F35" s="13" t="n">
        <v>46387</v>
      </c>
      <c r="G35" t="n">
        <v>3.5742399</v>
      </c>
      <c r="H35" t="n">
        <v>1.21578015</v>
      </c>
      <c r="I35" t="n">
        <v>1.22928882</v>
      </c>
      <c r="J35" t="n">
        <v>1.24279749</v>
      </c>
      <c r="K35" t="n">
        <v>1.24279749</v>
      </c>
      <c r="L35" t="n">
        <v>0.4492467</v>
      </c>
      <c r="M35" t="n">
        <v>0.40577122</v>
      </c>
      <c r="N35" t="n">
        <v>0.4492467</v>
      </c>
      <c r="O35" t="n">
        <v>0.43475487</v>
      </c>
      <c r="P35" t="n">
        <v>0.4492467</v>
      </c>
      <c r="Q35" t="n">
        <v>0.43475487</v>
      </c>
      <c r="R35" t="n">
        <v>0.4492467</v>
      </c>
      <c r="S35" t="n">
        <v>0.4492467</v>
      </c>
      <c r="T35" t="n">
        <v>0.43475487</v>
      </c>
      <c r="U35" t="n">
        <v>0.4492467</v>
      </c>
      <c r="V35" t="n">
        <v>0.43475487</v>
      </c>
      <c r="W35" t="n">
        <v>0.4492467</v>
      </c>
      <c r="X35" t="n">
        <v>0.02909725</v>
      </c>
      <c r="Y35" t="n">
        <v>0.02909725</v>
      </c>
      <c r="Z35" t="n">
        <v>0.02909725</v>
      </c>
      <c r="AA35" t="n">
        <v>0.02909725</v>
      </c>
      <c r="AB35" t="n">
        <v>0.02909725</v>
      </c>
      <c r="AC35" t="n">
        <v>0.02909725</v>
      </c>
      <c r="AD35" t="n">
        <v>0.02909725</v>
      </c>
      <c r="AE35" t="n">
        <v>0.02909725</v>
      </c>
      <c r="AF35" t="n">
        <v>0.02909725</v>
      </c>
      <c r="AG35" t="n">
        <v>0.02909725</v>
      </c>
      <c r="AH35" t="n">
        <v>0.02909725</v>
      </c>
      <c r="AI35" t="n">
        <v>0.02909725</v>
      </c>
    </row>
    <row r="36">
      <c r="A36" t="n">
        <v>17</v>
      </c>
      <c r="B36" s="13" t="n">
        <v>46388</v>
      </c>
      <c r="C36" s="13" t="n">
        <v>2958465</v>
      </c>
      <c r="D36" s="13" t="n">
        <v>46388</v>
      </c>
      <c r="E36" t="n">
        <v>1</v>
      </c>
      <c r="G36" t="n">
        <v>3.7509292</v>
      </c>
      <c r="H36" t="n">
        <v>1.27588114</v>
      </c>
      <c r="I36" t="n">
        <v>1.29005759</v>
      </c>
      <c r="J36" t="n">
        <v>1.30423405</v>
      </c>
      <c r="K36" t="n">
        <v>1.30423405</v>
      </c>
      <c r="L36" t="n">
        <v>0.4714548</v>
      </c>
      <c r="M36" t="n">
        <v>0.42583015</v>
      </c>
      <c r="N36" t="n">
        <v>0.4714548</v>
      </c>
      <c r="O36" t="n">
        <v>0.45624659</v>
      </c>
      <c r="P36" t="n">
        <v>0.4714548</v>
      </c>
      <c r="Q36" t="n">
        <v>0.45624659</v>
      </c>
      <c r="R36" t="n">
        <v>0.4714548</v>
      </c>
      <c r="S36" t="n">
        <v>0.4714548</v>
      </c>
      <c r="T36" t="n">
        <v>0.45624659</v>
      </c>
      <c r="U36" t="n">
        <v>0.4714548</v>
      </c>
      <c r="V36" t="n">
        <v>0.45624659</v>
      </c>
      <c r="W36" t="n">
        <v>0.4714548</v>
      </c>
      <c r="X36" t="n">
        <v>0.03053565</v>
      </c>
      <c r="Y36" t="n">
        <v>0.03053565</v>
      </c>
      <c r="Z36" t="n">
        <v>0.03053565</v>
      </c>
      <c r="AA36" t="n">
        <v>0.03053565</v>
      </c>
      <c r="AB36" t="n">
        <v>0.03053565</v>
      </c>
      <c r="AC36" t="n">
        <v>0.03053565</v>
      </c>
      <c r="AD36" t="n">
        <v>0.03053565</v>
      </c>
      <c r="AE36" t="n">
        <v>0.03053565</v>
      </c>
      <c r="AF36" t="n">
        <v>0.03053565</v>
      </c>
      <c r="AG36" t="n">
        <v>0.03053565</v>
      </c>
      <c r="AH36" t="n">
        <v>0.03053565</v>
      </c>
      <c r="AI36" t="n">
        <v>0.03053565</v>
      </c>
    </row>
    <row r="37">
      <c r="A37" t="n">
        <v>18</v>
      </c>
      <c r="B37" s="13" t="n">
        <v>46023</v>
      </c>
      <c r="C37" s="13" t="n">
        <v>46387</v>
      </c>
      <c r="D37" s="13" t="n">
        <v>46023</v>
      </c>
      <c r="E37" t="n">
        <v>0</v>
      </c>
      <c r="F37" s="13" t="n">
        <v>46387</v>
      </c>
      <c r="G37" t="n">
        <v>4.6287243</v>
      </c>
      <c r="H37" t="n">
        <v>1.57446374</v>
      </c>
      <c r="I37" t="n">
        <v>1.59195778</v>
      </c>
      <c r="J37" t="n">
        <v>1.60945182</v>
      </c>
      <c r="K37" t="n">
        <v>1.60945182</v>
      </c>
      <c r="L37" t="n">
        <v>0.5817849899999999</v>
      </c>
      <c r="M37" t="n">
        <v>0.52548322</v>
      </c>
      <c r="N37" t="n">
        <v>0.5817849899999999</v>
      </c>
      <c r="O37" t="n">
        <v>0.56301773</v>
      </c>
      <c r="P37" t="n">
        <v>0.5817849899999999</v>
      </c>
      <c r="Q37" t="n">
        <v>0.56301773</v>
      </c>
      <c r="R37" t="n">
        <v>0.5817849899999999</v>
      </c>
      <c r="S37" t="n">
        <v>0.5817849899999999</v>
      </c>
      <c r="T37" t="n">
        <v>0.56301773</v>
      </c>
      <c r="U37" t="n">
        <v>0.5817849899999999</v>
      </c>
      <c r="V37" t="n">
        <v>0.56301773</v>
      </c>
      <c r="W37" t="n">
        <v>0.5817849899999999</v>
      </c>
      <c r="X37" t="n">
        <v>0.03768162</v>
      </c>
      <c r="Y37" t="n">
        <v>0.03768162</v>
      </c>
      <c r="Z37" t="n">
        <v>0.03768162</v>
      </c>
      <c r="AA37" t="n">
        <v>0.03768162</v>
      </c>
      <c r="AB37" t="n">
        <v>0.03768162</v>
      </c>
      <c r="AC37" t="n">
        <v>0.03768162</v>
      </c>
      <c r="AD37" t="n">
        <v>0.03768162</v>
      </c>
      <c r="AE37" t="n">
        <v>0.03768162</v>
      </c>
      <c r="AF37" t="n">
        <v>0.03768162</v>
      </c>
      <c r="AG37" t="n">
        <v>0.03768162</v>
      </c>
      <c r="AH37" t="n">
        <v>0.03768162</v>
      </c>
      <c r="AI37" t="n">
        <v>0.03768162</v>
      </c>
    </row>
    <row r="38">
      <c r="A38" t="n">
        <v>18</v>
      </c>
      <c r="B38" s="13" t="n">
        <v>46388</v>
      </c>
      <c r="C38" s="13" t="n">
        <v>2958465</v>
      </c>
      <c r="D38" s="13" t="n">
        <v>46388</v>
      </c>
      <c r="E38" t="n">
        <v>1</v>
      </c>
      <c r="G38" t="n">
        <v>3.97633149</v>
      </c>
      <c r="H38" t="n">
        <v>1.07851183</v>
      </c>
      <c r="I38" t="n">
        <v>1.09049529</v>
      </c>
      <c r="J38" t="n">
        <v>1.10247876</v>
      </c>
      <c r="K38" t="n">
        <v>1.10247876</v>
      </c>
      <c r="L38" t="n">
        <v>0.40525899</v>
      </c>
      <c r="M38" t="n">
        <v>0.36604038</v>
      </c>
      <c r="N38" t="n">
        <v>0.40525899</v>
      </c>
      <c r="O38" t="n">
        <v>0.39218612</v>
      </c>
      <c r="P38" t="n">
        <v>0.40525899</v>
      </c>
      <c r="Q38" t="n">
        <v>0.39218612</v>
      </c>
      <c r="R38" t="n">
        <v>0.40525899</v>
      </c>
      <c r="S38" t="n">
        <v>0.40525899</v>
      </c>
      <c r="T38" t="n">
        <v>0.39218612</v>
      </c>
      <c r="U38" t="n">
        <v>0.40525899</v>
      </c>
      <c r="V38" t="n">
        <v>0.39218612</v>
      </c>
      <c r="W38" t="n">
        <v>0.40525899</v>
      </c>
      <c r="X38" t="n">
        <v>0.03159277</v>
      </c>
      <c r="Y38" t="n">
        <v>0.03159277</v>
      </c>
      <c r="Z38" t="n">
        <v>0.03159277</v>
      </c>
      <c r="AA38" t="n">
        <v>0.03159277</v>
      </c>
      <c r="AB38" t="n">
        <v>0.03159277</v>
      </c>
      <c r="AC38" t="n">
        <v>0.03159277</v>
      </c>
      <c r="AD38" t="n">
        <v>0.03159277</v>
      </c>
      <c r="AE38" t="n">
        <v>0.03159277</v>
      </c>
      <c r="AF38" t="n">
        <v>0.03159277</v>
      </c>
      <c r="AG38" t="n">
        <v>0.03159277</v>
      </c>
      <c r="AH38" t="n">
        <v>0.03159277</v>
      </c>
      <c r="AI38" t="n">
        <v>0.03159277</v>
      </c>
    </row>
    <row r="39">
      <c r="A39" t="n">
        <v>19</v>
      </c>
      <c r="B39" s="13" t="n">
        <v>46023</v>
      </c>
      <c r="C39" s="13" t="n">
        <v>46387</v>
      </c>
      <c r="D39" s="13" t="n">
        <v>46023</v>
      </c>
      <c r="E39" t="n">
        <v>0</v>
      </c>
      <c r="F39" s="13" t="n">
        <v>46387</v>
      </c>
      <c r="G39" t="n">
        <v>5.143027</v>
      </c>
      <c r="H39" t="n">
        <v>1.74940416</v>
      </c>
      <c r="I39" t="n">
        <v>1.76884198</v>
      </c>
      <c r="J39" t="n">
        <v>1.7882798</v>
      </c>
      <c r="K39" t="n">
        <v>1.7882798</v>
      </c>
      <c r="L39" t="n">
        <v>0.64642777</v>
      </c>
      <c r="M39" t="n">
        <v>0.58387024</v>
      </c>
      <c r="N39" t="n">
        <v>0.64642777</v>
      </c>
      <c r="O39" t="n">
        <v>0.62557526</v>
      </c>
      <c r="P39" t="n">
        <v>0.64642777</v>
      </c>
      <c r="Q39" t="n">
        <v>0.62557526</v>
      </c>
      <c r="R39" t="n">
        <v>0.64642777</v>
      </c>
      <c r="S39" t="n">
        <v>0.64642777</v>
      </c>
      <c r="T39" t="n">
        <v>0.62557526</v>
      </c>
      <c r="U39" t="n">
        <v>0.64642777</v>
      </c>
      <c r="V39" t="n">
        <v>0.62557526</v>
      </c>
      <c r="W39" t="n">
        <v>0.64642777</v>
      </c>
      <c r="X39" t="n">
        <v>0.04186847</v>
      </c>
      <c r="Y39" t="n">
        <v>0.04186847</v>
      </c>
      <c r="Z39" t="n">
        <v>0.04186847</v>
      </c>
      <c r="AA39" t="n">
        <v>0.04186847</v>
      </c>
      <c r="AB39" t="n">
        <v>0.04186847</v>
      </c>
      <c r="AC39" t="n">
        <v>0.04186847</v>
      </c>
      <c r="AD39" t="n">
        <v>0.04186847</v>
      </c>
      <c r="AE39" t="n">
        <v>0.04186847</v>
      </c>
      <c r="AF39" t="n">
        <v>0.04186847</v>
      </c>
      <c r="AG39" t="n">
        <v>0.04186847</v>
      </c>
      <c r="AH39" t="n">
        <v>0.04186847</v>
      </c>
      <c r="AI39" t="n">
        <v>0.04186847</v>
      </c>
    </row>
    <row r="40">
      <c r="A40" t="n">
        <v>19</v>
      </c>
      <c r="B40" s="13" t="n">
        <v>46388</v>
      </c>
      <c r="C40" s="13" t="n">
        <v>2958465</v>
      </c>
      <c r="D40" s="13" t="n">
        <v>46388</v>
      </c>
      <c r="E40" t="n">
        <v>1</v>
      </c>
      <c r="G40" t="n">
        <v>4.4181461</v>
      </c>
      <c r="H40" t="n">
        <v>1.19834648</v>
      </c>
      <c r="I40" t="n">
        <v>1.21166144</v>
      </c>
      <c r="J40" t="n">
        <v>1.2249764</v>
      </c>
      <c r="K40" t="n">
        <v>1.2249764</v>
      </c>
      <c r="L40" t="n">
        <v>0.45028777</v>
      </c>
      <c r="M40" t="n">
        <v>0.40671153</v>
      </c>
      <c r="N40" t="n">
        <v>0.45028777</v>
      </c>
      <c r="O40" t="n">
        <v>0.43576236</v>
      </c>
      <c r="P40" t="n">
        <v>0.45028777</v>
      </c>
      <c r="Q40" t="n">
        <v>0.43576236</v>
      </c>
      <c r="R40" t="n">
        <v>0.45028777</v>
      </c>
      <c r="S40" t="n">
        <v>0.45028777</v>
      </c>
      <c r="T40" t="n">
        <v>0.43576236</v>
      </c>
      <c r="U40" t="n">
        <v>0.45028777</v>
      </c>
      <c r="V40" t="n">
        <v>0.43576236</v>
      </c>
      <c r="W40" t="n">
        <v>0.45028777</v>
      </c>
      <c r="X40" t="n">
        <v>0.03510308</v>
      </c>
      <c r="Y40" t="n">
        <v>0.03510308</v>
      </c>
      <c r="Z40" t="n">
        <v>0.03510308</v>
      </c>
      <c r="AA40" t="n">
        <v>0.03510308</v>
      </c>
      <c r="AB40" t="n">
        <v>0.03510308</v>
      </c>
      <c r="AC40" t="n">
        <v>0.03510308</v>
      </c>
      <c r="AD40" t="n">
        <v>0.03510308</v>
      </c>
      <c r="AE40" t="n">
        <v>0.03510308</v>
      </c>
      <c r="AF40" t="n">
        <v>0.03510308</v>
      </c>
      <c r="AG40" t="n">
        <v>0.03510308</v>
      </c>
      <c r="AH40" t="n">
        <v>0.03510308</v>
      </c>
      <c r="AI40" t="n">
        <v>0.03510308</v>
      </c>
    </row>
    <row r="41">
      <c r="A41" t="n">
        <v>20</v>
      </c>
      <c r="B41" s="13" t="n">
        <v>46023</v>
      </c>
      <c r="C41" s="13" t="n">
        <v>46387</v>
      </c>
      <c r="D41" s="13" t="n">
        <v>46023</v>
      </c>
      <c r="E41" t="n">
        <v>0</v>
      </c>
      <c r="F41" s="13" t="n">
        <v>46387</v>
      </c>
      <c r="G41" t="n">
        <v>5.143027</v>
      </c>
      <c r="H41" t="n">
        <v>1.74940416</v>
      </c>
      <c r="I41" t="n">
        <v>1.76884198</v>
      </c>
      <c r="J41" t="n">
        <v>1.7882798</v>
      </c>
      <c r="K41" t="n">
        <v>1.7882798</v>
      </c>
      <c r="L41" t="n">
        <v>0.64642777</v>
      </c>
      <c r="M41" t="n">
        <v>0.58387024</v>
      </c>
      <c r="N41" t="n">
        <v>0.64642777</v>
      </c>
      <c r="O41" t="n">
        <v>0.62557526</v>
      </c>
      <c r="P41" t="n">
        <v>0.64642777</v>
      </c>
      <c r="Q41" t="n">
        <v>0.62557526</v>
      </c>
      <c r="R41" t="n">
        <v>0.64642777</v>
      </c>
      <c r="S41" t="n">
        <v>0.64642777</v>
      </c>
      <c r="T41" t="n">
        <v>0.62557526</v>
      </c>
      <c r="U41" t="n">
        <v>0.64642777</v>
      </c>
      <c r="V41" t="n">
        <v>0.62557526</v>
      </c>
      <c r="W41" t="n">
        <v>0.64642777</v>
      </c>
      <c r="X41" t="n">
        <v>0.04186847</v>
      </c>
      <c r="Y41" t="n">
        <v>0.04186847</v>
      </c>
      <c r="Z41" t="n">
        <v>0.04186847</v>
      </c>
      <c r="AA41" t="n">
        <v>0.04186847</v>
      </c>
      <c r="AB41" t="n">
        <v>0.04186847</v>
      </c>
      <c r="AC41" t="n">
        <v>0.04186847</v>
      </c>
      <c r="AD41" t="n">
        <v>0.04186847</v>
      </c>
      <c r="AE41" t="n">
        <v>0.04186847</v>
      </c>
      <c r="AF41" t="n">
        <v>0.04186847</v>
      </c>
      <c r="AG41" t="n">
        <v>0.04186847</v>
      </c>
      <c r="AH41" t="n">
        <v>0.04186847</v>
      </c>
      <c r="AI41" t="n">
        <v>0.04186847</v>
      </c>
    </row>
    <row r="42">
      <c r="A42" t="n">
        <v>20</v>
      </c>
      <c r="B42" s="13" t="n">
        <v>46388</v>
      </c>
      <c r="C42" s="13" t="n">
        <v>2958465</v>
      </c>
      <c r="D42" s="13" t="n">
        <v>46388</v>
      </c>
      <c r="E42" t="n">
        <v>1</v>
      </c>
      <c r="G42" t="n">
        <v>4.4181461</v>
      </c>
      <c r="H42" t="n">
        <v>1.19834648</v>
      </c>
      <c r="I42" t="n">
        <v>1.21166144</v>
      </c>
      <c r="J42" t="n">
        <v>1.2249764</v>
      </c>
      <c r="K42" t="n">
        <v>1.2249764</v>
      </c>
      <c r="L42" t="n">
        <v>0.45028777</v>
      </c>
      <c r="M42" t="n">
        <v>0.40671153</v>
      </c>
      <c r="N42" t="n">
        <v>0.45028777</v>
      </c>
      <c r="O42" t="n">
        <v>0.43576236</v>
      </c>
      <c r="P42" t="n">
        <v>0.45028777</v>
      </c>
      <c r="Q42" t="n">
        <v>0.43576236</v>
      </c>
      <c r="R42" t="n">
        <v>0.45028777</v>
      </c>
      <c r="S42" t="n">
        <v>0.45028777</v>
      </c>
      <c r="T42" t="n">
        <v>0.43576236</v>
      </c>
      <c r="U42" t="n">
        <v>0.45028777</v>
      </c>
      <c r="V42" t="n">
        <v>0.43576236</v>
      </c>
      <c r="W42" t="n">
        <v>0.45028777</v>
      </c>
      <c r="X42" t="n">
        <v>0.03510308</v>
      </c>
      <c r="Y42" t="n">
        <v>0.03510308</v>
      </c>
      <c r="Z42" t="n">
        <v>0.03510308</v>
      </c>
      <c r="AA42" t="n">
        <v>0.03510308</v>
      </c>
      <c r="AB42" t="n">
        <v>0.03510308</v>
      </c>
      <c r="AC42" t="n">
        <v>0.03510308</v>
      </c>
      <c r="AD42" t="n">
        <v>0.03510308</v>
      </c>
      <c r="AE42" t="n">
        <v>0.03510308</v>
      </c>
      <c r="AF42" t="n">
        <v>0.03510308</v>
      </c>
      <c r="AG42" t="n">
        <v>0.03510308</v>
      </c>
      <c r="AH42" t="n">
        <v>0.03510308</v>
      </c>
      <c r="AI42" t="n">
        <v>0.03510308</v>
      </c>
    </row>
    <row r="43">
      <c r="A43" t="n">
        <v>21</v>
      </c>
      <c r="B43" s="13" t="n">
        <v>44562</v>
      </c>
      <c r="C43" s="13" t="n">
        <v>44926</v>
      </c>
      <c r="D43" s="13" t="n">
        <v>44562</v>
      </c>
      <c r="E43" t="n">
        <v>0</v>
      </c>
      <c r="F43" s="13" t="n">
        <v>44926</v>
      </c>
      <c r="G43" t="n">
        <v>2.8752</v>
      </c>
      <c r="H43" t="n">
        <v>1.0782</v>
      </c>
      <c r="I43" t="n">
        <v>1.0782</v>
      </c>
      <c r="J43" t="n">
        <v>1.0782</v>
      </c>
      <c r="K43" t="n">
        <v>1.0782</v>
      </c>
      <c r="L43" t="n">
        <v>0.35952</v>
      </c>
      <c r="M43" t="n">
        <v>0.35952</v>
      </c>
      <c r="N43" t="n">
        <v>0.35952</v>
      </c>
      <c r="O43" t="n">
        <v>0.35952</v>
      </c>
      <c r="P43" t="n">
        <v>0.35952</v>
      </c>
      <c r="Q43" t="n">
        <v>0.35952</v>
      </c>
      <c r="R43" t="n">
        <v>0.35952</v>
      </c>
      <c r="S43" t="n">
        <v>0.35952</v>
      </c>
      <c r="T43" t="n">
        <v>0.35952</v>
      </c>
      <c r="U43" t="n">
        <v>0.35952</v>
      </c>
      <c r="V43" t="n">
        <v>0.35952</v>
      </c>
      <c r="W43" t="n">
        <v>0.35952</v>
      </c>
      <c r="X43" t="n">
        <v>0.02357</v>
      </c>
      <c r="Y43" t="n">
        <v>0.02357</v>
      </c>
      <c r="Z43" t="n">
        <v>0.02357</v>
      </c>
      <c r="AA43" t="n">
        <v>0.02357</v>
      </c>
      <c r="AB43" t="n">
        <v>0.02357</v>
      </c>
      <c r="AC43" t="n">
        <v>0.02357</v>
      </c>
      <c r="AD43" t="n">
        <v>0.02357</v>
      </c>
      <c r="AE43" t="n">
        <v>0.02357</v>
      </c>
      <c r="AF43" t="n">
        <v>0.02357</v>
      </c>
      <c r="AG43" t="n">
        <v>0.02357</v>
      </c>
      <c r="AH43" t="n">
        <v>0.02357</v>
      </c>
      <c r="AI43" t="n">
        <v>0.02357</v>
      </c>
    </row>
    <row r="44">
      <c r="A44" t="n">
        <v>21</v>
      </c>
      <c r="B44" s="13" t="n">
        <v>44927</v>
      </c>
      <c r="C44" s="13" t="n">
        <v>45291</v>
      </c>
      <c r="D44" s="13" t="n">
        <v>44927</v>
      </c>
      <c r="E44" t="n">
        <v>0</v>
      </c>
      <c r="F44" s="13" t="n">
        <v>45291</v>
      </c>
      <c r="G44" t="n">
        <v>2.95848</v>
      </c>
      <c r="H44" t="n">
        <v>1.10943</v>
      </c>
      <c r="I44" t="n">
        <v>1.10943</v>
      </c>
      <c r="J44" t="n">
        <v>1.10943</v>
      </c>
      <c r="K44" t="n">
        <v>1.10943</v>
      </c>
      <c r="L44" t="n">
        <v>0.36984</v>
      </c>
      <c r="M44" t="n">
        <v>0.36984</v>
      </c>
      <c r="N44" t="n">
        <v>0.36984</v>
      </c>
      <c r="O44" t="n">
        <v>0.36984</v>
      </c>
      <c r="P44" t="n">
        <v>0.36984</v>
      </c>
      <c r="Q44" t="n">
        <v>0.36984</v>
      </c>
      <c r="R44" t="n">
        <v>0.36984</v>
      </c>
      <c r="S44" t="n">
        <v>0.36984</v>
      </c>
      <c r="T44" t="n">
        <v>0.36984</v>
      </c>
      <c r="U44" t="n">
        <v>0.36984</v>
      </c>
      <c r="V44" t="n">
        <v>0.36984</v>
      </c>
      <c r="W44" t="n">
        <v>0.36984</v>
      </c>
      <c r="X44" t="n">
        <v>0.02425</v>
      </c>
      <c r="Y44" t="n">
        <v>0.02425</v>
      </c>
      <c r="Z44" t="n">
        <v>0.02425</v>
      </c>
      <c r="AA44" t="n">
        <v>0.02425</v>
      </c>
      <c r="AB44" t="n">
        <v>0.02425</v>
      </c>
      <c r="AC44" t="n">
        <v>0.02425</v>
      </c>
      <c r="AD44" t="n">
        <v>0.02425</v>
      </c>
      <c r="AE44" t="n">
        <v>0.02425</v>
      </c>
      <c r="AF44" t="n">
        <v>0.02425</v>
      </c>
      <c r="AG44" t="n">
        <v>0.02425</v>
      </c>
      <c r="AH44" t="n">
        <v>0.02425</v>
      </c>
      <c r="AI44" t="n">
        <v>0.02425</v>
      </c>
    </row>
    <row r="45">
      <c r="A45" t="n">
        <v>21</v>
      </c>
      <c r="B45" s="13" t="n">
        <v>45292</v>
      </c>
      <c r="C45" s="13" t="n">
        <v>45657</v>
      </c>
      <c r="D45" s="13" t="n">
        <v>45292</v>
      </c>
      <c r="E45" t="n">
        <v>0</v>
      </c>
      <c r="F45" s="13" t="n">
        <v>45657</v>
      </c>
      <c r="G45" t="n">
        <v>3.23064</v>
      </c>
      <c r="H45" t="n">
        <v>1.21149</v>
      </c>
      <c r="I45" t="n">
        <v>1.21149</v>
      </c>
      <c r="J45" t="n">
        <v>1.21149</v>
      </c>
      <c r="K45" t="n">
        <v>1.21149</v>
      </c>
      <c r="L45" t="n">
        <v>0.40392</v>
      </c>
      <c r="M45" t="n">
        <v>0.40392</v>
      </c>
      <c r="N45" t="n">
        <v>0.40392</v>
      </c>
      <c r="O45" t="n">
        <v>0.40392</v>
      </c>
      <c r="P45" t="n">
        <v>0.40392</v>
      </c>
      <c r="Q45" t="n">
        <v>0.40392</v>
      </c>
      <c r="R45" t="n">
        <v>0.40392</v>
      </c>
      <c r="S45" t="n">
        <v>0.40392</v>
      </c>
      <c r="T45" t="n">
        <v>0.40392</v>
      </c>
      <c r="U45" t="n">
        <v>0.40392</v>
      </c>
      <c r="V45" t="n">
        <v>0.40392</v>
      </c>
      <c r="W45" t="n">
        <v>0.40392</v>
      </c>
      <c r="X45" t="n">
        <v>0.0264</v>
      </c>
      <c r="Y45" t="n">
        <v>0.0264</v>
      </c>
      <c r="Z45" t="n">
        <v>0.0264</v>
      </c>
      <c r="AA45" t="n">
        <v>0.0264</v>
      </c>
      <c r="AB45" t="n">
        <v>0.0264</v>
      </c>
      <c r="AC45" t="n">
        <v>0.0264</v>
      </c>
      <c r="AD45" t="n">
        <v>0.0264</v>
      </c>
      <c r="AE45" t="n">
        <v>0.0264</v>
      </c>
      <c r="AF45" t="n">
        <v>0.0264</v>
      </c>
      <c r="AG45" t="n">
        <v>0.0264</v>
      </c>
      <c r="AH45" t="n">
        <v>0.0264</v>
      </c>
      <c r="AI45" t="n">
        <v>0.0264</v>
      </c>
    </row>
    <row r="46">
      <c r="A46" t="n">
        <v>21</v>
      </c>
      <c r="B46" s="13" t="n">
        <v>45658</v>
      </c>
      <c r="C46" s="13" t="n">
        <v>46022</v>
      </c>
      <c r="D46" s="13" t="n">
        <v>45658</v>
      </c>
      <c r="E46" t="n">
        <v>0</v>
      </c>
      <c r="F46" s="13" t="n">
        <v>46022</v>
      </c>
      <c r="G46" t="n">
        <v>8.76</v>
      </c>
      <c r="H46" t="n">
        <v>3.28512</v>
      </c>
      <c r="I46" t="n">
        <v>3.28512</v>
      </c>
      <c r="J46" t="n">
        <v>3.28512</v>
      </c>
      <c r="K46" t="n">
        <v>3.28512</v>
      </c>
      <c r="L46" t="n">
        <v>1.09512</v>
      </c>
      <c r="M46" t="n">
        <v>1.09512</v>
      </c>
      <c r="N46" t="n">
        <v>1.09512</v>
      </c>
      <c r="O46" t="n">
        <v>1.09512</v>
      </c>
      <c r="P46" t="n">
        <v>1.09512</v>
      </c>
      <c r="Q46" t="n">
        <v>1.09512</v>
      </c>
      <c r="R46" t="n">
        <v>1.09512</v>
      </c>
      <c r="S46" t="n">
        <v>1.09512</v>
      </c>
      <c r="T46" t="n">
        <v>1.09512</v>
      </c>
      <c r="U46" t="n">
        <v>1.09512</v>
      </c>
      <c r="V46" t="n">
        <v>1.09512</v>
      </c>
      <c r="W46" t="n">
        <v>1.09512</v>
      </c>
      <c r="X46" t="n">
        <v>0.07176</v>
      </c>
      <c r="Y46" t="n">
        <v>0.07176</v>
      </c>
      <c r="Z46" t="n">
        <v>0.07176</v>
      </c>
      <c r="AA46" t="n">
        <v>0.07176</v>
      </c>
      <c r="AB46" t="n">
        <v>0.07176</v>
      </c>
      <c r="AC46" t="n">
        <v>0.07176</v>
      </c>
      <c r="AD46" t="n">
        <v>0.07176</v>
      </c>
      <c r="AE46" t="n">
        <v>0.07176</v>
      </c>
      <c r="AF46" t="n">
        <v>0.07176</v>
      </c>
      <c r="AG46" t="n">
        <v>0.07176</v>
      </c>
      <c r="AH46" t="n">
        <v>0.07176</v>
      </c>
      <c r="AI46" t="n">
        <v>0.07176</v>
      </c>
    </row>
    <row r="47">
      <c r="A47" t="n">
        <v>21</v>
      </c>
      <c r="B47" s="13" t="n">
        <v>46023</v>
      </c>
      <c r="C47" s="13" t="n">
        <v>46142</v>
      </c>
      <c r="D47" s="13" t="n">
        <v>46023</v>
      </c>
      <c r="E47" t="n">
        <v>0</v>
      </c>
      <c r="F47" s="13" t="n">
        <v>46142</v>
      </c>
      <c r="G47" t="n">
        <v>8.76</v>
      </c>
      <c r="H47" t="n">
        <v>3.28512</v>
      </c>
      <c r="I47" t="n">
        <v>3.28512</v>
      </c>
      <c r="J47" t="n">
        <v>3.28512</v>
      </c>
      <c r="K47" t="n">
        <v>3.28512</v>
      </c>
      <c r="L47" t="n">
        <v>1.09512</v>
      </c>
      <c r="M47" t="n">
        <v>1.09512</v>
      </c>
      <c r="N47" t="n">
        <v>1.09512</v>
      </c>
      <c r="O47" t="n">
        <v>1.09512</v>
      </c>
      <c r="P47" t="n">
        <v>1.09512</v>
      </c>
      <c r="Q47" t="n">
        <v>1.09512</v>
      </c>
      <c r="R47" t="n">
        <v>1.09512</v>
      </c>
      <c r="S47" t="n">
        <v>1.09512</v>
      </c>
      <c r="T47" t="n">
        <v>1.09512</v>
      </c>
      <c r="U47" t="n">
        <v>1.09512</v>
      </c>
      <c r="V47" t="n">
        <v>1.09512</v>
      </c>
      <c r="W47" t="n">
        <v>1.09512</v>
      </c>
      <c r="X47" t="n">
        <v>0.07176</v>
      </c>
      <c r="Y47" t="n">
        <v>0.07176</v>
      </c>
      <c r="Z47" t="n">
        <v>0.07176</v>
      </c>
      <c r="AA47" t="n">
        <v>0.07176</v>
      </c>
      <c r="AB47" t="n">
        <v>0.07176</v>
      </c>
      <c r="AC47" t="n">
        <v>0.07176</v>
      </c>
      <c r="AD47" t="n">
        <v>0.07176</v>
      </c>
      <c r="AE47" t="n">
        <v>0.07176</v>
      </c>
      <c r="AF47" t="n">
        <v>0.07176</v>
      </c>
      <c r="AG47" t="n">
        <v>0.07176</v>
      </c>
      <c r="AH47" t="n">
        <v>0.07176</v>
      </c>
      <c r="AI47" t="n">
        <v>0.07176</v>
      </c>
    </row>
    <row r="48">
      <c r="A48" t="n">
        <v>21</v>
      </c>
      <c r="B48" s="13" t="n">
        <v>46143</v>
      </c>
      <c r="C48" s="13" t="n">
        <v>2958465</v>
      </c>
      <c r="D48" s="13" t="n">
        <v>46143</v>
      </c>
      <c r="E48" t="n">
        <v>1</v>
      </c>
      <c r="G48" t="n">
        <v>9.635999999999999</v>
      </c>
      <c r="H48" t="n">
        <v>3.61344</v>
      </c>
      <c r="I48" t="n">
        <v>3.61344</v>
      </c>
      <c r="J48" t="n">
        <v>3.61344</v>
      </c>
      <c r="K48" t="n">
        <v>3.61344</v>
      </c>
      <c r="L48" t="n">
        <v>1.20456</v>
      </c>
      <c r="M48" t="n">
        <v>1.20456</v>
      </c>
      <c r="N48" t="n">
        <v>1.20456</v>
      </c>
      <c r="O48" t="n">
        <v>1.20456</v>
      </c>
      <c r="P48" t="n">
        <v>1.20456</v>
      </c>
      <c r="Q48" t="n">
        <v>1.20456</v>
      </c>
      <c r="R48" t="n">
        <v>1.20456</v>
      </c>
      <c r="S48" t="n">
        <v>1.20456</v>
      </c>
      <c r="T48" t="n">
        <v>1.20456</v>
      </c>
      <c r="U48" t="n">
        <v>1.20456</v>
      </c>
      <c r="V48" t="n">
        <v>1.20456</v>
      </c>
      <c r="W48" t="n">
        <v>1.20456</v>
      </c>
      <c r="X48" t="n">
        <v>0.07896</v>
      </c>
      <c r="Y48" t="n">
        <v>0.07896</v>
      </c>
      <c r="Z48" t="n">
        <v>0.07896</v>
      </c>
      <c r="AA48" t="n">
        <v>0.07896</v>
      </c>
      <c r="AB48" t="n">
        <v>0.07896</v>
      </c>
      <c r="AC48" t="n">
        <v>0.07896</v>
      </c>
      <c r="AD48" t="n">
        <v>0.07896</v>
      </c>
      <c r="AE48" t="n">
        <v>0.07896</v>
      </c>
      <c r="AF48" t="n">
        <v>0.07896</v>
      </c>
      <c r="AG48" t="n">
        <v>0.07896</v>
      </c>
      <c r="AH48" t="n">
        <v>0.07896</v>
      </c>
      <c r="AI48" t="n">
        <v>0.07896</v>
      </c>
    </row>
    <row r="49">
      <c r="A49" t="n">
        <v>22</v>
      </c>
      <c r="B49" s="13" t="n">
        <v>44562</v>
      </c>
      <c r="C49" s="13" t="n">
        <v>44926</v>
      </c>
      <c r="D49" s="13" t="n">
        <v>44562</v>
      </c>
      <c r="E49" t="n">
        <v>0</v>
      </c>
      <c r="F49" s="13" t="n">
        <v>44926</v>
      </c>
      <c r="G49" t="n">
        <v>2.8752</v>
      </c>
      <c r="H49" t="n">
        <v>1.0782</v>
      </c>
      <c r="I49" t="n">
        <v>1.0782</v>
      </c>
      <c r="J49" t="n">
        <v>1.0782</v>
      </c>
      <c r="K49" t="n">
        <v>1.0782</v>
      </c>
      <c r="L49" t="n">
        <v>0.35952</v>
      </c>
      <c r="M49" t="n">
        <v>0.35952</v>
      </c>
      <c r="N49" t="n">
        <v>0.35952</v>
      </c>
      <c r="O49" t="n">
        <v>0.35952</v>
      </c>
      <c r="P49" t="n">
        <v>0.35952</v>
      </c>
      <c r="Q49" t="n">
        <v>0.35952</v>
      </c>
      <c r="R49" t="n">
        <v>0.35952</v>
      </c>
      <c r="S49" t="n">
        <v>0.35952</v>
      </c>
      <c r="T49" t="n">
        <v>0.35952</v>
      </c>
      <c r="U49" t="n">
        <v>0.35952</v>
      </c>
      <c r="V49" t="n">
        <v>0.35952</v>
      </c>
      <c r="W49" t="n">
        <v>0.35952</v>
      </c>
      <c r="X49" t="n">
        <v>0.02357</v>
      </c>
      <c r="Y49" t="n">
        <v>0.02357</v>
      </c>
      <c r="Z49" t="n">
        <v>0.02357</v>
      </c>
      <c r="AA49" t="n">
        <v>0.02357</v>
      </c>
      <c r="AB49" t="n">
        <v>0.02357</v>
      </c>
      <c r="AC49" t="n">
        <v>0.02357</v>
      </c>
      <c r="AD49" t="n">
        <v>0.02357</v>
      </c>
      <c r="AE49" t="n">
        <v>0.02357</v>
      </c>
      <c r="AF49" t="n">
        <v>0.02357</v>
      </c>
      <c r="AG49" t="n">
        <v>0.02357</v>
      </c>
      <c r="AH49" t="n">
        <v>0.02357</v>
      </c>
      <c r="AI49" t="n">
        <v>0.02357</v>
      </c>
    </row>
    <row r="50">
      <c r="A50" t="n">
        <v>22</v>
      </c>
      <c r="B50" s="13" t="n">
        <v>44927</v>
      </c>
      <c r="C50" s="13" t="n">
        <v>45291</v>
      </c>
      <c r="D50" s="13" t="n">
        <v>44927</v>
      </c>
      <c r="E50" t="n">
        <v>0</v>
      </c>
      <c r="F50" s="13" t="n">
        <v>45291</v>
      </c>
      <c r="G50" t="n">
        <v>2.95848</v>
      </c>
      <c r="H50" t="n">
        <v>1.10943</v>
      </c>
      <c r="I50" t="n">
        <v>1.10943</v>
      </c>
      <c r="J50" t="n">
        <v>1.10943</v>
      </c>
      <c r="K50" t="n">
        <v>1.10943</v>
      </c>
      <c r="L50" t="n">
        <v>0.36984</v>
      </c>
      <c r="M50" t="n">
        <v>0.36984</v>
      </c>
      <c r="N50" t="n">
        <v>0.36984</v>
      </c>
      <c r="O50" t="n">
        <v>0.36984</v>
      </c>
      <c r="P50" t="n">
        <v>0.36984</v>
      </c>
      <c r="Q50" t="n">
        <v>0.36984</v>
      </c>
      <c r="R50" t="n">
        <v>0.36984</v>
      </c>
      <c r="S50" t="n">
        <v>0.36984</v>
      </c>
      <c r="T50" t="n">
        <v>0.36984</v>
      </c>
      <c r="U50" t="n">
        <v>0.36984</v>
      </c>
      <c r="V50" t="n">
        <v>0.36984</v>
      </c>
      <c r="W50" t="n">
        <v>0.36984</v>
      </c>
      <c r="X50" t="n">
        <v>0.02425</v>
      </c>
      <c r="Y50" t="n">
        <v>0.02425</v>
      </c>
      <c r="Z50" t="n">
        <v>0.02425</v>
      </c>
      <c r="AA50" t="n">
        <v>0.02425</v>
      </c>
      <c r="AB50" t="n">
        <v>0.02425</v>
      </c>
      <c r="AC50" t="n">
        <v>0.02425</v>
      </c>
      <c r="AD50" t="n">
        <v>0.02425</v>
      </c>
      <c r="AE50" t="n">
        <v>0.02425</v>
      </c>
      <c r="AF50" t="n">
        <v>0.02425</v>
      </c>
      <c r="AG50" t="n">
        <v>0.02425</v>
      </c>
      <c r="AH50" t="n">
        <v>0.02425</v>
      </c>
      <c r="AI50" t="n">
        <v>0.02425</v>
      </c>
    </row>
    <row r="51">
      <c r="A51" t="n">
        <v>22</v>
      </c>
      <c r="B51" s="13" t="n">
        <v>45292</v>
      </c>
      <c r="C51" s="13" t="n">
        <v>45657</v>
      </c>
      <c r="D51" s="13" t="n">
        <v>45292</v>
      </c>
      <c r="E51" t="n">
        <v>0</v>
      </c>
      <c r="F51" s="13" t="n">
        <v>45657</v>
      </c>
      <c r="G51" t="n">
        <v>3.23064</v>
      </c>
      <c r="H51" t="n">
        <v>1.21149</v>
      </c>
      <c r="I51" t="n">
        <v>1.21149</v>
      </c>
      <c r="J51" t="n">
        <v>1.21149</v>
      </c>
      <c r="K51" t="n">
        <v>1.21149</v>
      </c>
      <c r="L51" t="n">
        <v>0.40392</v>
      </c>
      <c r="M51" t="n">
        <v>0.40392</v>
      </c>
      <c r="N51" t="n">
        <v>0.40392</v>
      </c>
      <c r="O51" t="n">
        <v>0.40392</v>
      </c>
      <c r="P51" t="n">
        <v>0.40392</v>
      </c>
      <c r="Q51" t="n">
        <v>0.40392</v>
      </c>
      <c r="R51" t="n">
        <v>0.40392</v>
      </c>
      <c r="S51" t="n">
        <v>0.40392</v>
      </c>
      <c r="T51" t="n">
        <v>0.40392</v>
      </c>
      <c r="U51" t="n">
        <v>0.40392</v>
      </c>
      <c r="V51" t="n">
        <v>0.40392</v>
      </c>
      <c r="W51" t="n">
        <v>0.40392</v>
      </c>
      <c r="X51" t="n">
        <v>0.0264</v>
      </c>
      <c r="Y51" t="n">
        <v>0.0264</v>
      </c>
      <c r="Z51" t="n">
        <v>0.0264</v>
      </c>
      <c r="AA51" t="n">
        <v>0.0264</v>
      </c>
      <c r="AB51" t="n">
        <v>0.0264</v>
      </c>
      <c r="AC51" t="n">
        <v>0.0264</v>
      </c>
      <c r="AD51" t="n">
        <v>0.0264</v>
      </c>
      <c r="AE51" t="n">
        <v>0.0264</v>
      </c>
      <c r="AF51" t="n">
        <v>0.0264</v>
      </c>
      <c r="AG51" t="n">
        <v>0.0264</v>
      </c>
      <c r="AH51" t="n">
        <v>0.0264</v>
      </c>
      <c r="AI51" t="n">
        <v>0.0264</v>
      </c>
    </row>
    <row r="52">
      <c r="A52" t="n">
        <v>22</v>
      </c>
      <c r="B52" s="13" t="n">
        <v>45658</v>
      </c>
      <c r="C52" s="13" t="n">
        <v>46022</v>
      </c>
      <c r="D52" s="13" t="n">
        <v>45658</v>
      </c>
      <c r="E52" t="n">
        <v>0</v>
      </c>
      <c r="F52" s="13" t="n">
        <v>46022</v>
      </c>
      <c r="G52" t="n">
        <v>8.76</v>
      </c>
      <c r="H52" t="n">
        <v>3.28512</v>
      </c>
      <c r="I52" t="n">
        <v>3.28512</v>
      </c>
      <c r="J52" t="n">
        <v>3.28512</v>
      </c>
      <c r="K52" t="n">
        <v>3.28512</v>
      </c>
      <c r="L52" t="n">
        <v>1.09512</v>
      </c>
      <c r="M52" t="n">
        <v>1.09512</v>
      </c>
      <c r="N52" t="n">
        <v>1.09512</v>
      </c>
      <c r="O52" t="n">
        <v>1.09512</v>
      </c>
      <c r="P52" t="n">
        <v>1.09512</v>
      </c>
      <c r="Q52" t="n">
        <v>1.09512</v>
      </c>
      <c r="R52" t="n">
        <v>1.09512</v>
      </c>
      <c r="S52" t="n">
        <v>1.09512</v>
      </c>
      <c r="T52" t="n">
        <v>1.09512</v>
      </c>
      <c r="U52" t="n">
        <v>1.09512</v>
      </c>
      <c r="V52" t="n">
        <v>1.09512</v>
      </c>
      <c r="W52" t="n">
        <v>1.09512</v>
      </c>
      <c r="X52" t="n">
        <v>0.07176</v>
      </c>
      <c r="Y52" t="n">
        <v>0.07176</v>
      </c>
      <c r="Z52" t="n">
        <v>0.07176</v>
      </c>
      <c r="AA52" t="n">
        <v>0.07176</v>
      </c>
      <c r="AB52" t="n">
        <v>0.07176</v>
      </c>
      <c r="AC52" t="n">
        <v>0.07176</v>
      </c>
      <c r="AD52" t="n">
        <v>0.07176</v>
      </c>
      <c r="AE52" t="n">
        <v>0.07176</v>
      </c>
      <c r="AF52" t="n">
        <v>0.07176</v>
      </c>
      <c r="AG52" t="n">
        <v>0.07176</v>
      </c>
      <c r="AH52" t="n">
        <v>0.07176</v>
      </c>
      <c r="AI52" t="n">
        <v>0.07176</v>
      </c>
    </row>
    <row r="53">
      <c r="A53" t="n">
        <v>22</v>
      </c>
      <c r="B53" s="13" t="n">
        <v>46023</v>
      </c>
      <c r="C53" s="13" t="n">
        <v>46142</v>
      </c>
      <c r="D53" s="13" t="n">
        <v>46023</v>
      </c>
      <c r="E53" t="n">
        <v>0</v>
      </c>
      <c r="F53" s="13" t="n">
        <v>46142</v>
      </c>
      <c r="G53" t="n">
        <v>8.76</v>
      </c>
      <c r="H53" t="n">
        <v>3.28512</v>
      </c>
      <c r="I53" t="n">
        <v>3.28512</v>
      </c>
      <c r="J53" t="n">
        <v>3.28512</v>
      </c>
      <c r="K53" t="n">
        <v>3.28512</v>
      </c>
      <c r="L53" t="n">
        <v>1.09512</v>
      </c>
      <c r="M53" t="n">
        <v>1.09512</v>
      </c>
      <c r="N53" t="n">
        <v>1.09512</v>
      </c>
      <c r="O53" t="n">
        <v>1.09512</v>
      </c>
      <c r="P53" t="n">
        <v>1.09512</v>
      </c>
      <c r="Q53" t="n">
        <v>1.09512</v>
      </c>
      <c r="R53" t="n">
        <v>1.09512</v>
      </c>
      <c r="S53" t="n">
        <v>1.09512</v>
      </c>
      <c r="T53" t="n">
        <v>1.09512</v>
      </c>
      <c r="U53" t="n">
        <v>1.09512</v>
      </c>
      <c r="V53" t="n">
        <v>1.09512</v>
      </c>
      <c r="W53" t="n">
        <v>1.09512</v>
      </c>
      <c r="X53" t="n">
        <v>0.07176</v>
      </c>
      <c r="Y53" t="n">
        <v>0.07176</v>
      </c>
      <c r="Z53" t="n">
        <v>0.07176</v>
      </c>
      <c r="AA53" t="n">
        <v>0.07176</v>
      </c>
      <c r="AB53" t="n">
        <v>0.07176</v>
      </c>
      <c r="AC53" t="n">
        <v>0.07176</v>
      </c>
      <c r="AD53" t="n">
        <v>0.07176</v>
      </c>
      <c r="AE53" t="n">
        <v>0.07176</v>
      </c>
      <c r="AF53" t="n">
        <v>0.07176</v>
      </c>
      <c r="AG53" t="n">
        <v>0.07176</v>
      </c>
      <c r="AH53" t="n">
        <v>0.07176</v>
      </c>
      <c r="AI53" t="n">
        <v>0.07176</v>
      </c>
    </row>
    <row r="54">
      <c r="A54" t="n">
        <v>22</v>
      </c>
      <c r="B54" s="13" t="n">
        <v>46143</v>
      </c>
      <c r="C54" s="13" t="n">
        <v>2958465</v>
      </c>
      <c r="D54" s="13" t="n">
        <v>46143</v>
      </c>
      <c r="E54" t="n">
        <v>1</v>
      </c>
      <c r="G54" t="n">
        <v>9.635999999999999</v>
      </c>
      <c r="H54" t="n">
        <v>3.61344</v>
      </c>
      <c r="I54" t="n">
        <v>3.61344</v>
      </c>
      <c r="J54" t="n">
        <v>3.61344</v>
      </c>
      <c r="K54" t="n">
        <v>3.61344</v>
      </c>
      <c r="L54" t="n">
        <v>1.20456</v>
      </c>
      <c r="M54" t="n">
        <v>1.20456</v>
      </c>
      <c r="N54" t="n">
        <v>1.20456</v>
      </c>
      <c r="O54" t="n">
        <v>1.20456</v>
      </c>
      <c r="P54" t="n">
        <v>1.20456</v>
      </c>
      <c r="Q54" t="n">
        <v>1.20456</v>
      </c>
      <c r="R54" t="n">
        <v>1.20456</v>
      </c>
      <c r="S54" t="n">
        <v>1.20456</v>
      </c>
      <c r="T54" t="n">
        <v>1.20456</v>
      </c>
      <c r="U54" t="n">
        <v>1.20456</v>
      </c>
      <c r="V54" t="n">
        <v>1.20456</v>
      </c>
      <c r="W54" t="n">
        <v>1.20456</v>
      </c>
      <c r="X54" t="n">
        <v>0.07896</v>
      </c>
      <c r="Y54" t="n">
        <v>0.07896</v>
      </c>
      <c r="Z54" t="n">
        <v>0.07896</v>
      </c>
      <c r="AA54" t="n">
        <v>0.07896</v>
      </c>
      <c r="AB54" t="n">
        <v>0.07896</v>
      </c>
      <c r="AC54" t="n">
        <v>0.07896</v>
      </c>
      <c r="AD54" t="n">
        <v>0.07896</v>
      </c>
      <c r="AE54" t="n">
        <v>0.07896</v>
      </c>
      <c r="AF54" t="n">
        <v>0.07896</v>
      </c>
      <c r="AG54" t="n">
        <v>0.07896</v>
      </c>
      <c r="AH54" t="n">
        <v>0.07896</v>
      </c>
      <c r="AI54" t="n">
        <v>0.07896</v>
      </c>
    </row>
    <row r="55">
      <c r="A55" t="n">
        <v>23</v>
      </c>
      <c r="B55" s="13" t="n">
        <v>44562</v>
      </c>
      <c r="C55" s="13" t="n">
        <v>44926</v>
      </c>
      <c r="D55" s="13" t="n">
        <v>44562</v>
      </c>
      <c r="E55" t="n">
        <v>0</v>
      </c>
      <c r="F55" s="13" t="n">
        <v>44926</v>
      </c>
      <c r="G55" t="n">
        <v>2.8752</v>
      </c>
      <c r="H55" t="n">
        <v>1.0782</v>
      </c>
      <c r="I55" t="n">
        <v>1.0782</v>
      </c>
      <c r="J55" t="n">
        <v>1.0782</v>
      </c>
      <c r="K55" t="n">
        <v>1.0782</v>
      </c>
      <c r="L55" t="n">
        <v>0.35952</v>
      </c>
      <c r="M55" t="n">
        <v>0.35952</v>
      </c>
      <c r="N55" t="n">
        <v>0.35952</v>
      </c>
      <c r="O55" t="n">
        <v>0.35952</v>
      </c>
      <c r="P55" t="n">
        <v>0.35952</v>
      </c>
      <c r="Q55" t="n">
        <v>0.35952</v>
      </c>
      <c r="R55" t="n">
        <v>0.35952</v>
      </c>
      <c r="S55" t="n">
        <v>0.35952</v>
      </c>
      <c r="T55" t="n">
        <v>0.35952</v>
      </c>
      <c r="U55" t="n">
        <v>0.35952</v>
      </c>
      <c r="V55" t="n">
        <v>0.35952</v>
      </c>
      <c r="W55" t="n">
        <v>0.35952</v>
      </c>
      <c r="X55" t="n">
        <v>0.02357</v>
      </c>
      <c r="Y55" t="n">
        <v>0.02357</v>
      </c>
      <c r="Z55" t="n">
        <v>0.02357</v>
      </c>
      <c r="AA55" t="n">
        <v>0.02357</v>
      </c>
      <c r="AB55" t="n">
        <v>0.02357</v>
      </c>
      <c r="AC55" t="n">
        <v>0.02357</v>
      </c>
      <c r="AD55" t="n">
        <v>0.02357</v>
      </c>
      <c r="AE55" t="n">
        <v>0.02357</v>
      </c>
      <c r="AF55" t="n">
        <v>0.02357</v>
      </c>
      <c r="AG55" t="n">
        <v>0.02357</v>
      </c>
      <c r="AH55" t="n">
        <v>0.02357</v>
      </c>
      <c r="AI55" t="n">
        <v>0.02357</v>
      </c>
    </row>
    <row r="56">
      <c r="A56" t="n">
        <v>23</v>
      </c>
      <c r="B56" s="13" t="n">
        <v>44927</v>
      </c>
      <c r="C56" s="13" t="n">
        <v>45291</v>
      </c>
      <c r="D56" s="13" t="n">
        <v>44927</v>
      </c>
      <c r="E56" t="n">
        <v>0</v>
      </c>
      <c r="F56" s="13" t="n">
        <v>45291</v>
      </c>
      <c r="G56" t="n">
        <v>2.95848</v>
      </c>
      <c r="H56" t="n">
        <v>1.10943</v>
      </c>
      <c r="I56" t="n">
        <v>1.10943</v>
      </c>
      <c r="J56" t="n">
        <v>1.10943</v>
      </c>
      <c r="K56" t="n">
        <v>1.10943</v>
      </c>
      <c r="L56" t="n">
        <v>0.36984</v>
      </c>
      <c r="M56" t="n">
        <v>0.36984</v>
      </c>
      <c r="N56" t="n">
        <v>0.36984</v>
      </c>
      <c r="O56" t="n">
        <v>0.36984</v>
      </c>
      <c r="P56" t="n">
        <v>0.36984</v>
      </c>
      <c r="Q56" t="n">
        <v>0.36984</v>
      </c>
      <c r="R56" t="n">
        <v>0.36984</v>
      </c>
      <c r="S56" t="n">
        <v>0.36984</v>
      </c>
      <c r="T56" t="n">
        <v>0.36984</v>
      </c>
      <c r="U56" t="n">
        <v>0.36984</v>
      </c>
      <c r="V56" t="n">
        <v>0.36984</v>
      </c>
      <c r="W56" t="n">
        <v>0.36984</v>
      </c>
      <c r="X56" t="n">
        <v>0.02425</v>
      </c>
      <c r="Y56" t="n">
        <v>0.02425</v>
      </c>
      <c r="Z56" t="n">
        <v>0.02425</v>
      </c>
      <c r="AA56" t="n">
        <v>0.02425</v>
      </c>
      <c r="AB56" t="n">
        <v>0.02425</v>
      </c>
      <c r="AC56" t="n">
        <v>0.02425</v>
      </c>
      <c r="AD56" t="n">
        <v>0.02425</v>
      </c>
      <c r="AE56" t="n">
        <v>0.02425</v>
      </c>
      <c r="AF56" t="n">
        <v>0.02425</v>
      </c>
      <c r="AG56" t="n">
        <v>0.02425</v>
      </c>
      <c r="AH56" t="n">
        <v>0.02425</v>
      </c>
      <c r="AI56" t="n">
        <v>0.02425</v>
      </c>
    </row>
    <row r="57">
      <c r="A57" t="n">
        <v>23</v>
      </c>
      <c r="B57" s="13" t="n">
        <v>45292</v>
      </c>
      <c r="C57" s="13" t="n">
        <v>45657</v>
      </c>
      <c r="D57" s="13" t="n">
        <v>45292</v>
      </c>
      <c r="E57" t="n">
        <v>0</v>
      </c>
      <c r="F57" s="13" t="n">
        <v>45657</v>
      </c>
      <c r="G57" t="n">
        <v>3.23064</v>
      </c>
      <c r="H57" t="n">
        <v>1.21149</v>
      </c>
      <c r="I57" t="n">
        <v>1.21149</v>
      </c>
      <c r="J57" t="n">
        <v>1.21149</v>
      </c>
      <c r="K57" t="n">
        <v>1.21149</v>
      </c>
      <c r="L57" t="n">
        <v>0.40392</v>
      </c>
      <c r="M57" t="n">
        <v>0.40392</v>
      </c>
      <c r="N57" t="n">
        <v>0.40392</v>
      </c>
      <c r="O57" t="n">
        <v>0.40392</v>
      </c>
      <c r="P57" t="n">
        <v>0.40392</v>
      </c>
      <c r="Q57" t="n">
        <v>0.40392</v>
      </c>
      <c r="R57" t="n">
        <v>0.40392</v>
      </c>
      <c r="S57" t="n">
        <v>0.40392</v>
      </c>
      <c r="T57" t="n">
        <v>0.40392</v>
      </c>
      <c r="U57" t="n">
        <v>0.40392</v>
      </c>
      <c r="V57" t="n">
        <v>0.40392</v>
      </c>
      <c r="W57" t="n">
        <v>0.40392</v>
      </c>
      <c r="X57" t="n">
        <v>0.0264</v>
      </c>
      <c r="Y57" t="n">
        <v>0.0264</v>
      </c>
      <c r="Z57" t="n">
        <v>0.0264</v>
      </c>
      <c r="AA57" t="n">
        <v>0.0264</v>
      </c>
      <c r="AB57" t="n">
        <v>0.0264</v>
      </c>
      <c r="AC57" t="n">
        <v>0.0264</v>
      </c>
      <c r="AD57" t="n">
        <v>0.0264</v>
      </c>
      <c r="AE57" t="n">
        <v>0.0264</v>
      </c>
      <c r="AF57" t="n">
        <v>0.0264</v>
      </c>
      <c r="AG57" t="n">
        <v>0.0264</v>
      </c>
      <c r="AH57" t="n">
        <v>0.0264</v>
      </c>
      <c r="AI57" t="n">
        <v>0.0264</v>
      </c>
    </row>
    <row r="58">
      <c r="A58" t="n">
        <v>23</v>
      </c>
      <c r="B58" s="13" t="n">
        <v>45658</v>
      </c>
      <c r="C58" s="13" t="n">
        <v>46022</v>
      </c>
      <c r="D58" s="13" t="n">
        <v>45658</v>
      </c>
      <c r="E58" t="n">
        <v>0</v>
      </c>
      <c r="F58" s="13" t="n">
        <v>46022</v>
      </c>
      <c r="G58" t="n">
        <v>8.76</v>
      </c>
      <c r="H58" t="n">
        <v>3.28512</v>
      </c>
      <c r="I58" t="n">
        <v>3.28512</v>
      </c>
      <c r="J58" t="n">
        <v>3.28512</v>
      </c>
      <c r="K58" t="n">
        <v>3.28512</v>
      </c>
      <c r="L58" t="n">
        <v>1.09512</v>
      </c>
      <c r="M58" t="n">
        <v>1.09512</v>
      </c>
      <c r="N58" t="n">
        <v>1.09512</v>
      </c>
      <c r="O58" t="n">
        <v>1.09512</v>
      </c>
      <c r="P58" t="n">
        <v>1.09512</v>
      </c>
      <c r="Q58" t="n">
        <v>1.09512</v>
      </c>
      <c r="R58" t="n">
        <v>1.09512</v>
      </c>
      <c r="S58" t="n">
        <v>1.09512</v>
      </c>
      <c r="T58" t="n">
        <v>1.09512</v>
      </c>
      <c r="U58" t="n">
        <v>1.09512</v>
      </c>
      <c r="V58" t="n">
        <v>1.09512</v>
      </c>
      <c r="W58" t="n">
        <v>1.09512</v>
      </c>
      <c r="X58" t="n">
        <v>0.07176</v>
      </c>
      <c r="Y58" t="n">
        <v>0.07176</v>
      </c>
      <c r="Z58" t="n">
        <v>0.07176</v>
      </c>
      <c r="AA58" t="n">
        <v>0.07176</v>
      </c>
      <c r="AB58" t="n">
        <v>0.07176</v>
      </c>
      <c r="AC58" t="n">
        <v>0.07176</v>
      </c>
      <c r="AD58" t="n">
        <v>0.07176</v>
      </c>
      <c r="AE58" t="n">
        <v>0.07176</v>
      </c>
      <c r="AF58" t="n">
        <v>0.07176</v>
      </c>
      <c r="AG58" t="n">
        <v>0.07176</v>
      </c>
      <c r="AH58" t="n">
        <v>0.07176</v>
      </c>
      <c r="AI58" t="n">
        <v>0.07176</v>
      </c>
    </row>
    <row r="59">
      <c r="A59" t="n">
        <v>23</v>
      </c>
      <c r="B59" s="13" t="n">
        <v>46023</v>
      </c>
      <c r="C59" s="13" t="n">
        <v>46142</v>
      </c>
      <c r="D59" s="13" t="n">
        <v>46023</v>
      </c>
      <c r="E59" t="n">
        <v>0</v>
      </c>
      <c r="F59" s="13" t="n">
        <v>46142</v>
      </c>
      <c r="G59" t="n">
        <v>8.76</v>
      </c>
      <c r="H59" t="n">
        <v>3.28512</v>
      </c>
      <c r="I59" t="n">
        <v>3.28512</v>
      </c>
      <c r="J59" t="n">
        <v>3.28512</v>
      </c>
      <c r="K59" t="n">
        <v>3.28512</v>
      </c>
      <c r="L59" t="n">
        <v>1.09512</v>
      </c>
      <c r="M59" t="n">
        <v>1.09512</v>
      </c>
      <c r="N59" t="n">
        <v>1.09512</v>
      </c>
      <c r="O59" t="n">
        <v>1.09512</v>
      </c>
      <c r="P59" t="n">
        <v>1.09512</v>
      </c>
      <c r="Q59" t="n">
        <v>1.09512</v>
      </c>
      <c r="R59" t="n">
        <v>1.09512</v>
      </c>
      <c r="S59" t="n">
        <v>1.09512</v>
      </c>
      <c r="T59" t="n">
        <v>1.09512</v>
      </c>
      <c r="U59" t="n">
        <v>1.09512</v>
      </c>
      <c r="V59" t="n">
        <v>1.09512</v>
      </c>
      <c r="W59" t="n">
        <v>1.09512</v>
      </c>
      <c r="X59" t="n">
        <v>0.07176</v>
      </c>
      <c r="Y59" t="n">
        <v>0.07176</v>
      </c>
      <c r="Z59" t="n">
        <v>0.07176</v>
      </c>
      <c r="AA59" t="n">
        <v>0.07176</v>
      </c>
      <c r="AB59" t="n">
        <v>0.07176</v>
      </c>
      <c r="AC59" t="n">
        <v>0.07176</v>
      </c>
      <c r="AD59" t="n">
        <v>0.07176</v>
      </c>
      <c r="AE59" t="n">
        <v>0.07176</v>
      </c>
      <c r="AF59" t="n">
        <v>0.07176</v>
      </c>
      <c r="AG59" t="n">
        <v>0.07176</v>
      </c>
      <c r="AH59" t="n">
        <v>0.07176</v>
      </c>
      <c r="AI59" t="n">
        <v>0.07176</v>
      </c>
    </row>
    <row r="60">
      <c r="A60" t="n">
        <v>23</v>
      </c>
      <c r="B60" s="13" t="n">
        <v>46143</v>
      </c>
      <c r="C60" s="13" t="n">
        <v>2958465</v>
      </c>
      <c r="D60" s="13" t="n">
        <v>46143</v>
      </c>
      <c r="E60" t="n">
        <v>1</v>
      </c>
      <c r="G60" t="n">
        <v>9.635999999999999</v>
      </c>
      <c r="H60" t="n">
        <v>3.61344</v>
      </c>
      <c r="I60" t="n">
        <v>3.61344</v>
      </c>
      <c r="J60" t="n">
        <v>3.61344</v>
      </c>
      <c r="K60" t="n">
        <v>3.61344</v>
      </c>
      <c r="L60" t="n">
        <v>1.20456</v>
      </c>
      <c r="M60" t="n">
        <v>1.20456</v>
      </c>
      <c r="N60" t="n">
        <v>1.20456</v>
      </c>
      <c r="O60" t="n">
        <v>1.20456</v>
      </c>
      <c r="P60" t="n">
        <v>1.20456</v>
      </c>
      <c r="Q60" t="n">
        <v>1.20456</v>
      </c>
      <c r="R60" t="n">
        <v>1.20456</v>
      </c>
      <c r="S60" t="n">
        <v>1.20456</v>
      </c>
      <c r="T60" t="n">
        <v>1.20456</v>
      </c>
      <c r="U60" t="n">
        <v>1.20456</v>
      </c>
      <c r="V60" t="n">
        <v>1.20456</v>
      </c>
      <c r="W60" t="n">
        <v>1.20456</v>
      </c>
      <c r="X60" t="n">
        <v>0.07896</v>
      </c>
      <c r="Y60" t="n">
        <v>0.07896</v>
      </c>
      <c r="Z60" t="n">
        <v>0.07896</v>
      </c>
      <c r="AA60" t="n">
        <v>0.07896</v>
      </c>
      <c r="AB60" t="n">
        <v>0.07896</v>
      </c>
      <c r="AC60" t="n">
        <v>0.07896</v>
      </c>
      <c r="AD60" t="n">
        <v>0.07896</v>
      </c>
      <c r="AE60" t="n">
        <v>0.07896</v>
      </c>
      <c r="AF60" t="n">
        <v>0.07896</v>
      </c>
      <c r="AG60" t="n">
        <v>0.07896</v>
      </c>
      <c r="AH60" t="n">
        <v>0.07896</v>
      </c>
      <c r="AI60" t="n">
        <v>0.07896</v>
      </c>
    </row>
    <row r="61">
      <c r="A61" t="n">
        <v>24</v>
      </c>
      <c r="B61" s="13" t="n">
        <v>44562</v>
      </c>
      <c r="C61" s="13" t="n">
        <v>44926</v>
      </c>
      <c r="D61" s="13" t="n">
        <v>44562</v>
      </c>
      <c r="E61" t="n">
        <v>0</v>
      </c>
      <c r="F61" s="13" t="n">
        <v>44926</v>
      </c>
      <c r="G61" t="n">
        <v>4.08</v>
      </c>
      <c r="H61" t="n">
        <v>1e-06</v>
      </c>
      <c r="I61" t="n">
        <v>1e-06</v>
      </c>
      <c r="J61" t="n">
        <v>1e-06</v>
      </c>
      <c r="K61" t="n">
        <v>1e-06</v>
      </c>
      <c r="L61" t="n">
        <v>0.8159999999999999</v>
      </c>
      <c r="M61" t="n">
        <v>0.8159999999999999</v>
      </c>
      <c r="N61" t="n">
        <v>0.8159999999999999</v>
      </c>
      <c r="O61" t="n">
        <v>0.8159999999999999</v>
      </c>
      <c r="P61" t="n">
        <v>0.8159999999999999</v>
      </c>
      <c r="Q61" t="n">
        <v>0.8159999999999999</v>
      </c>
      <c r="R61" t="n">
        <v>0.8159999999999999</v>
      </c>
      <c r="S61" t="n">
        <v>0.8159999999999999</v>
      </c>
      <c r="T61" t="n">
        <v>0.8159999999999999</v>
      </c>
      <c r="U61" t="n">
        <v>0.8159999999999999</v>
      </c>
      <c r="V61" t="n">
        <v>0.8159999999999999</v>
      </c>
      <c r="W61" t="n">
        <v>0.8159999999999999</v>
      </c>
      <c r="X61" t="n">
        <v>0.033456</v>
      </c>
      <c r="Y61" t="n">
        <v>0.033456</v>
      </c>
      <c r="Z61" t="n">
        <v>0.033456</v>
      </c>
      <c r="AA61" t="n">
        <v>0.033456</v>
      </c>
      <c r="AB61" t="n">
        <v>0.033456</v>
      </c>
      <c r="AC61" t="n">
        <v>0.033456</v>
      </c>
      <c r="AD61" t="n">
        <v>0.033456</v>
      </c>
      <c r="AE61" t="n">
        <v>0.033456</v>
      </c>
      <c r="AF61" t="n">
        <v>0.033456</v>
      </c>
      <c r="AG61" t="n">
        <v>0.033456</v>
      </c>
      <c r="AH61" t="n">
        <v>0.033456</v>
      </c>
      <c r="AI61" t="n">
        <v>0.033456</v>
      </c>
    </row>
    <row r="62">
      <c r="A62" t="n">
        <v>24</v>
      </c>
      <c r="B62" s="13" t="n">
        <v>44927</v>
      </c>
      <c r="C62" s="13" t="n">
        <v>45291</v>
      </c>
      <c r="D62" s="13" t="n">
        <v>44927</v>
      </c>
      <c r="E62" t="n">
        <v>0</v>
      </c>
      <c r="F62" s="13" t="n">
        <v>45291</v>
      </c>
      <c r="G62" t="n">
        <v>4.08</v>
      </c>
      <c r="H62" t="n">
        <v>1e-06</v>
      </c>
      <c r="I62" t="n">
        <v>1e-06</v>
      </c>
      <c r="J62" t="n">
        <v>1e-06</v>
      </c>
      <c r="K62" t="n">
        <v>1e-06</v>
      </c>
      <c r="L62" t="n">
        <v>0.8159999999999999</v>
      </c>
      <c r="M62" t="n">
        <v>0.8159999999999999</v>
      </c>
      <c r="N62" t="n">
        <v>0.8159999999999999</v>
      </c>
      <c r="O62" t="n">
        <v>0.8159999999999999</v>
      </c>
      <c r="P62" t="n">
        <v>0.8159999999999999</v>
      </c>
      <c r="Q62" t="n">
        <v>0.8159999999999999</v>
      </c>
      <c r="R62" t="n">
        <v>0.8159999999999999</v>
      </c>
      <c r="S62" t="n">
        <v>0.8159999999999999</v>
      </c>
      <c r="T62" t="n">
        <v>0.8159999999999999</v>
      </c>
      <c r="U62" t="n">
        <v>0.8159999999999999</v>
      </c>
      <c r="V62" t="n">
        <v>0.8159999999999999</v>
      </c>
      <c r="W62" t="n">
        <v>0.8159999999999999</v>
      </c>
      <c r="X62" t="n">
        <v>0.033456</v>
      </c>
      <c r="Y62" t="n">
        <v>0.033456</v>
      </c>
      <c r="Z62" t="n">
        <v>0.033456</v>
      </c>
      <c r="AA62" t="n">
        <v>0.033456</v>
      </c>
      <c r="AB62" t="n">
        <v>0.033456</v>
      </c>
      <c r="AC62" t="n">
        <v>0.033456</v>
      </c>
      <c r="AD62" t="n">
        <v>0.033456</v>
      </c>
      <c r="AE62" t="n">
        <v>0.033456</v>
      </c>
      <c r="AF62" t="n">
        <v>0.033456</v>
      </c>
      <c r="AG62" t="n">
        <v>0.033456</v>
      </c>
      <c r="AH62" t="n">
        <v>0.033456</v>
      </c>
      <c r="AI62" t="n">
        <v>0.033456</v>
      </c>
    </row>
    <row r="63">
      <c r="A63" t="n">
        <v>24</v>
      </c>
      <c r="B63" s="13" t="n">
        <v>45292</v>
      </c>
      <c r="C63" s="13" t="n">
        <v>45657</v>
      </c>
      <c r="D63" s="13" t="n">
        <v>45292</v>
      </c>
      <c r="E63" t="n">
        <v>0</v>
      </c>
      <c r="F63" s="13" t="n">
        <v>45657</v>
      </c>
      <c r="G63" t="n">
        <v>4.58448</v>
      </c>
      <c r="H63" t="n">
        <v>1.83384</v>
      </c>
      <c r="I63" t="n">
        <v>1.83384</v>
      </c>
      <c r="J63" t="n">
        <v>1.83384</v>
      </c>
      <c r="K63" t="n">
        <v>1.83384</v>
      </c>
      <c r="L63" t="n">
        <v>0.9167999999999999</v>
      </c>
      <c r="M63" t="n">
        <v>0.9167999999999999</v>
      </c>
      <c r="N63" t="n">
        <v>0.9167999999999999</v>
      </c>
      <c r="O63" t="n">
        <v>0.9167999999999999</v>
      </c>
      <c r="P63" t="n">
        <v>0.9167999999999999</v>
      </c>
      <c r="Q63" t="n">
        <v>0.9167999999999999</v>
      </c>
      <c r="R63" t="n">
        <v>0.9167999999999999</v>
      </c>
      <c r="S63" t="n">
        <v>0.9167999999999999</v>
      </c>
      <c r="T63" t="n">
        <v>0.9167999999999999</v>
      </c>
      <c r="U63" t="n">
        <v>0.9167999999999999</v>
      </c>
      <c r="V63" t="n">
        <v>0.9167999999999999</v>
      </c>
      <c r="W63" t="n">
        <v>0.9167999999999999</v>
      </c>
      <c r="X63" t="n">
        <v>0.03768</v>
      </c>
      <c r="Y63" t="n">
        <v>0.03768</v>
      </c>
      <c r="Z63" t="n">
        <v>0.03768</v>
      </c>
      <c r="AA63" t="n">
        <v>0.03768</v>
      </c>
      <c r="AB63" t="n">
        <v>0.03768</v>
      </c>
      <c r="AC63" t="n">
        <v>0.03768</v>
      </c>
      <c r="AD63" t="n">
        <v>0.03768</v>
      </c>
      <c r="AE63" t="n">
        <v>0.03768</v>
      </c>
      <c r="AF63" t="n">
        <v>0.03768</v>
      </c>
      <c r="AG63" t="n">
        <v>0.03768</v>
      </c>
      <c r="AH63" t="n">
        <v>0.03768</v>
      </c>
      <c r="AI63" t="n">
        <v>0.03768</v>
      </c>
    </row>
    <row r="64">
      <c r="A64" t="n">
        <v>24</v>
      </c>
      <c r="B64" s="13" t="n">
        <v>45658</v>
      </c>
      <c r="C64" s="13" t="n">
        <v>46022</v>
      </c>
      <c r="D64" s="13" t="n">
        <v>45658</v>
      </c>
      <c r="E64" t="n">
        <v>0</v>
      </c>
      <c r="F64" s="13" t="n">
        <v>46022</v>
      </c>
      <c r="G64" t="n">
        <v>8.76</v>
      </c>
      <c r="H64" t="n">
        <v>3.504</v>
      </c>
      <c r="I64" t="n">
        <v>3.504</v>
      </c>
      <c r="J64" t="n">
        <v>3.504</v>
      </c>
      <c r="K64" t="n">
        <v>3.504</v>
      </c>
      <c r="L64" t="n">
        <v>1.752</v>
      </c>
      <c r="M64" t="n">
        <v>1.752</v>
      </c>
      <c r="N64" t="n">
        <v>1.752</v>
      </c>
      <c r="O64" t="n">
        <v>1.752</v>
      </c>
      <c r="P64" t="n">
        <v>1.752</v>
      </c>
      <c r="Q64" t="n">
        <v>1.752</v>
      </c>
      <c r="R64" t="n">
        <v>1.752</v>
      </c>
      <c r="S64" t="n">
        <v>1.752</v>
      </c>
      <c r="T64" t="n">
        <v>1.752</v>
      </c>
      <c r="U64" t="n">
        <v>1.752</v>
      </c>
      <c r="V64" t="n">
        <v>1.752</v>
      </c>
      <c r="W64" t="n">
        <v>1.752</v>
      </c>
      <c r="X64" t="n">
        <v>0.07176</v>
      </c>
      <c r="Y64" t="n">
        <v>0.07176</v>
      </c>
      <c r="Z64" t="n">
        <v>0.07176</v>
      </c>
      <c r="AA64" t="n">
        <v>0.07176</v>
      </c>
      <c r="AB64" t="n">
        <v>0.07176</v>
      </c>
      <c r="AC64" t="n">
        <v>0.07176</v>
      </c>
      <c r="AD64" t="n">
        <v>0.07176</v>
      </c>
      <c r="AE64" t="n">
        <v>0.07176</v>
      </c>
      <c r="AF64" t="n">
        <v>0.07176</v>
      </c>
      <c r="AG64" t="n">
        <v>0.07176</v>
      </c>
      <c r="AH64" t="n">
        <v>0.07176</v>
      </c>
      <c r="AI64" t="n">
        <v>0.07176</v>
      </c>
    </row>
    <row r="65">
      <c r="A65" t="n">
        <v>24</v>
      </c>
      <c r="B65" s="13" t="n">
        <v>46023</v>
      </c>
      <c r="C65" s="13" t="n">
        <v>46142</v>
      </c>
      <c r="D65" s="13" t="n">
        <v>46023</v>
      </c>
      <c r="E65" t="n">
        <v>0</v>
      </c>
      <c r="F65" s="13" t="n">
        <v>46142</v>
      </c>
      <c r="G65" t="n">
        <v>8.98776</v>
      </c>
      <c r="H65" t="n">
        <v>3.5952</v>
      </c>
      <c r="I65" t="n">
        <v>3.5952</v>
      </c>
      <c r="J65" t="n">
        <v>3.5952</v>
      </c>
      <c r="K65" t="n">
        <v>3.5952</v>
      </c>
      <c r="L65" t="n">
        <v>1.7976</v>
      </c>
      <c r="M65" t="n">
        <v>1.7976</v>
      </c>
      <c r="N65" t="n">
        <v>1.7976</v>
      </c>
      <c r="O65" t="n">
        <v>1.7976</v>
      </c>
      <c r="P65" t="n">
        <v>1.7976</v>
      </c>
      <c r="Q65" t="n">
        <v>1.7976</v>
      </c>
      <c r="R65" t="n">
        <v>1.7976</v>
      </c>
      <c r="S65" t="n">
        <v>1.7976</v>
      </c>
      <c r="T65" t="n">
        <v>1.7976</v>
      </c>
      <c r="U65" t="n">
        <v>1.7976</v>
      </c>
      <c r="V65" t="n">
        <v>1.7976</v>
      </c>
      <c r="W65" t="n">
        <v>1.7976</v>
      </c>
      <c r="X65" t="n">
        <v>0.07368</v>
      </c>
      <c r="Y65" t="n">
        <v>0.07368</v>
      </c>
      <c r="Z65" t="n">
        <v>0.07368</v>
      </c>
      <c r="AA65" t="n">
        <v>0.07368</v>
      </c>
      <c r="AB65" t="n">
        <v>0.07368</v>
      </c>
      <c r="AC65" t="n">
        <v>0.07368</v>
      </c>
      <c r="AD65" t="n">
        <v>0.07368</v>
      </c>
      <c r="AE65" t="n">
        <v>0.07368</v>
      </c>
      <c r="AF65" t="n">
        <v>0.07368</v>
      </c>
      <c r="AG65" t="n">
        <v>0.07368</v>
      </c>
      <c r="AH65" t="n">
        <v>0.07368</v>
      </c>
      <c r="AI65" t="n">
        <v>0.07368</v>
      </c>
    </row>
    <row r="66">
      <c r="A66" t="n">
        <v>24</v>
      </c>
      <c r="B66" s="13" t="n">
        <v>46143</v>
      </c>
      <c r="C66" s="13" t="n">
        <v>2958465</v>
      </c>
      <c r="D66" s="13" t="n">
        <v>46143</v>
      </c>
      <c r="E66" t="n">
        <v>1</v>
      </c>
      <c r="G66" t="n">
        <v>9.635999999999999</v>
      </c>
      <c r="H66" t="n">
        <v>3.61344</v>
      </c>
      <c r="I66" t="n">
        <v>3.61344</v>
      </c>
      <c r="J66" t="n">
        <v>3.61344</v>
      </c>
      <c r="K66" t="n">
        <v>3.61344</v>
      </c>
      <c r="L66" t="n">
        <v>1.20456</v>
      </c>
      <c r="M66" t="n">
        <v>1.20456</v>
      </c>
      <c r="N66" t="n">
        <v>1.20456</v>
      </c>
      <c r="O66" t="n">
        <v>1.20456</v>
      </c>
      <c r="P66" t="n">
        <v>1.20456</v>
      </c>
      <c r="Q66" t="n">
        <v>1.20456</v>
      </c>
      <c r="R66" t="n">
        <v>1.20456</v>
      </c>
      <c r="S66" t="n">
        <v>1.20456</v>
      </c>
      <c r="T66" t="n">
        <v>1.20456</v>
      </c>
      <c r="U66" t="n">
        <v>1.20456</v>
      </c>
      <c r="V66" t="n">
        <v>1.20456</v>
      </c>
      <c r="W66" t="n">
        <v>1.20456</v>
      </c>
      <c r="X66" t="n">
        <v>0.07896</v>
      </c>
      <c r="Y66" t="n">
        <v>0.07896</v>
      </c>
      <c r="Z66" t="n">
        <v>0.07896</v>
      </c>
      <c r="AA66" t="n">
        <v>0.07896</v>
      </c>
      <c r="AB66" t="n">
        <v>0.07896</v>
      </c>
      <c r="AC66" t="n">
        <v>0.07896</v>
      </c>
      <c r="AD66" t="n">
        <v>0.07896</v>
      </c>
      <c r="AE66" t="n">
        <v>0.07896</v>
      </c>
      <c r="AF66" t="n">
        <v>0.07896</v>
      </c>
      <c r="AG66" t="n">
        <v>0.07896</v>
      </c>
      <c r="AH66" t="n">
        <v>0.07896</v>
      </c>
      <c r="AI66" t="n">
        <v>0.07896</v>
      </c>
    </row>
    <row r="67">
      <c r="A67" t="n">
        <v>25</v>
      </c>
      <c r="B67" s="13" t="n">
        <v>44927</v>
      </c>
      <c r="C67" s="13" t="n">
        <v>45291</v>
      </c>
      <c r="D67" s="13" t="n">
        <v>44927</v>
      </c>
      <c r="E67" t="n">
        <v>0</v>
      </c>
      <c r="F67" s="13" t="n">
        <v>45291</v>
      </c>
      <c r="G67" t="n">
        <v>2.95848</v>
      </c>
      <c r="H67" t="n">
        <v>1.10943</v>
      </c>
      <c r="I67" t="n">
        <v>1.10943</v>
      </c>
      <c r="J67" t="n">
        <v>1.10943</v>
      </c>
      <c r="K67" t="n">
        <v>1.10943</v>
      </c>
      <c r="L67" t="n">
        <v>0.36984</v>
      </c>
      <c r="M67" t="n">
        <v>0.36984</v>
      </c>
      <c r="N67" t="n">
        <v>0.36984</v>
      </c>
      <c r="O67" t="n">
        <v>0.36984</v>
      </c>
      <c r="P67" t="n">
        <v>0.36984</v>
      </c>
      <c r="Q67" t="n">
        <v>0.36984</v>
      </c>
      <c r="R67" t="n">
        <v>0.36984</v>
      </c>
      <c r="S67" t="n">
        <v>0.36984</v>
      </c>
      <c r="T67" t="n">
        <v>0.36984</v>
      </c>
      <c r="U67" t="n">
        <v>0.36984</v>
      </c>
      <c r="V67" t="n">
        <v>0.36984</v>
      </c>
      <c r="W67" t="n">
        <v>0.36984</v>
      </c>
      <c r="X67" t="n">
        <v>0.02425</v>
      </c>
      <c r="Y67" t="n">
        <v>0.02425</v>
      </c>
      <c r="Z67" t="n">
        <v>0.02425</v>
      </c>
      <c r="AA67" t="n">
        <v>0.02425</v>
      </c>
      <c r="AB67" t="n">
        <v>0.02425</v>
      </c>
      <c r="AC67" t="n">
        <v>0.02425</v>
      </c>
      <c r="AD67" t="n">
        <v>0.02425</v>
      </c>
      <c r="AE67" t="n">
        <v>0.02425</v>
      </c>
      <c r="AF67" t="n">
        <v>0.02425</v>
      </c>
      <c r="AG67" t="n">
        <v>0.02425</v>
      </c>
      <c r="AH67" t="n">
        <v>0.02425</v>
      </c>
      <c r="AI67" t="n">
        <v>0.02425</v>
      </c>
    </row>
    <row r="68">
      <c r="A68" t="n">
        <v>25</v>
      </c>
      <c r="B68" s="13" t="n">
        <v>45292</v>
      </c>
      <c r="C68" s="13" t="n">
        <v>45657</v>
      </c>
      <c r="D68" s="13" t="n">
        <v>45292</v>
      </c>
      <c r="E68" t="n">
        <v>0</v>
      </c>
      <c r="F68" s="13" t="n">
        <v>45657</v>
      </c>
      <c r="G68" t="n">
        <v>3.23064</v>
      </c>
      <c r="H68" t="n">
        <v>1.21149</v>
      </c>
      <c r="I68" t="n">
        <v>1.21149</v>
      </c>
      <c r="J68" t="n">
        <v>1.21149</v>
      </c>
      <c r="K68" t="n">
        <v>1.21149</v>
      </c>
      <c r="L68" t="n">
        <v>0.40392</v>
      </c>
      <c r="M68" t="n">
        <v>0.40392</v>
      </c>
      <c r="N68" t="n">
        <v>0.40392</v>
      </c>
      <c r="O68" t="n">
        <v>0.40392</v>
      </c>
      <c r="P68" t="n">
        <v>0.40392</v>
      </c>
      <c r="Q68" t="n">
        <v>0.40392</v>
      </c>
      <c r="R68" t="n">
        <v>0.40392</v>
      </c>
      <c r="S68" t="n">
        <v>0.40392</v>
      </c>
      <c r="T68" t="n">
        <v>0.40392</v>
      </c>
      <c r="U68" t="n">
        <v>0.40392</v>
      </c>
      <c r="V68" t="n">
        <v>0.40392</v>
      </c>
      <c r="W68" t="n">
        <v>0.40392</v>
      </c>
      <c r="X68" t="n">
        <v>0.0264</v>
      </c>
      <c r="Y68" t="n">
        <v>0.0264</v>
      </c>
      <c r="Z68" t="n">
        <v>0.0264</v>
      </c>
      <c r="AA68" t="n">
        <v>0.0264</v>
      </c>
      <c r="AB68" t="n">
        <v>0.0264</v>
      </c>
      <c r="AC68" t="n">
        <v>0.0264</v>
      </c>
      <c r="AD68" t="n">
        <v>0.0264</v>
      </c>
      <c r="AE68" t="n">
        <v>0.0264</v>
      </c>
      <c r="AF68" t="n">
        <v>0.0264</v>
      </c>
      <c r="AG68" t="n">
        <v>0.0264</v>
      </c>
      <c r="AH68" t="n">
        <v>0.0264</v>
      </c>
      <c r="AI68" t="n">
        <v>0.0264</v>
      </c>
    </row>
    <row r="69">
      <c r="A69" t="n">
        <v>25</v>
      </c>
      <c r="B69" s="13" t="n">
        <v>45658</v>
      </c>
      <c r="C69" s="13" t="n">
        <v>46022</v>
      </c>
      <c r="D69" s="13" t="n">
        <v>45658</v>
      </c>
      <c r="E69" t="n">
        <v>0</v>
      </c>
      <c r="F69" s="13" t="n">
        <v>46022</v>
      </c>
      <c r="G69" t="n">
        <v>8.76</v>
      </c>
      <c r="H69" t="n">
        <v>3.28512</v>
      </c>
      <c r="I69" t="n">
        <v>3.28512</v>
      </c>
      <c r="J69" t="n">
        <v>3.28512</v>
      </c>
      <c r="K69" t="n">
        <v>3.28512</v>
      </c>
      <c r="L69" t="n">
        <v>1.09512</v>
      </c>
      <c r="M69" t="n">
        <v>1.09512</v>
      </c>
      <c r="N69" t="n">
        <v>1.09512</v>
      </c>
      <c r="O69" t="n">
        <v>1.09512</v>
      </c>
      <c r="P69" t="n">
        <v>1.09512</v>
      </c>
      <c r="Q69" t="n">
        <v>1.09512</v>
      </c>
      <c r="R69" t="n">
        <v>1.09512</v>
      </c>
      <c r="S69" t="n">
        <v>1.09512</v>
      </c>
      <c r="T69" t="n">
        <v>1.09512</v>
      </c>
      <c r="U69" t="n">
        <v>1.09512</v>
      </c>
      <c r="V69" t="n">
        <v>1.09512</v>
      </c>
      <c r="W69" t="n">
        <v>1.09512</v>
      </c>
      <c r="X69" t="n">
        <v>0.07176</v>
      </c>
      <c r="Y69" t="n">
        <v>0.07176</v>
      </c>
      <c r="Z69" t="n">
        <v>0.07176</v>
      </c>
      <c r="AA69" t="n">
        <v>0.07176</v>
      </c>
      <c r="AB69" t="n">
        <v>0.07176</v>
      </c>
      <c r="AC69" t="n">
        <v>0.07176</v>
      </c>
      <c r="AD69" t="n">
        <v>0.07176</v>
      </c>
      <c r="AE69" t="n">
        <v>0.07176</v>
      </c>
      <c r="AF69" t="n">
        <v>0.07176</v>
      </c>
      <c r="AG69" t="n">
        <v>0.07176</v>
      </c>
      <c r="AH69" t="n">
        <v>0.07176</v>
      </c>
      <c r="AI69" t="n">
        <v>0.07176</v>
      </c>
    </row>
    <row r="70">
      <c r="A70" t="n">
        <v>25</v>
      </c>
      <c r="B70" s="13" t="n">
        <v>46023</v>
      </c>
      <c r="C70" s="13" t="n">
        <v>46142</v>
      </c>
      <c r="D70" s="13" t="n">
        <v>46023</v>
      </c>
      <c r="E70" t="n">
        <v>0</v>
      </c>
      <c r="F70" s="13" t="n">
        <v>46142</v>
      </c>
      <c r="G70" t="n">
        <v>8.76</v>
      </c>
      <c r="H70" t="n">
        <v>3.28512</v>
      </c>
      <c r="I70" t="n">
        <v>3.28512</v>
      </c>
      <c r="J70" t="n">
        <v>3.28512</v>
      </c>
      <c r="K70" t="n">
        <v>3.28512</v>
      </c>
      <c r="L70" t="n">
        <v>1.09512</v>
      </c>
      <c r="M70" t="n">
        <v>1.09512</v>
      </c>
      <c r="N70" t="n">
        <v>1.09512</v>
      </c>
      <c r="O70" t="n">
        <v>1.09512</v>
      </c>
      <c r="P70" t="n">
        <v>1.09512</v>
      </c>
      <c r="Q70" t="n">
        <v>1.09512</v>
      </c>
      <c r="R70" t="n">
        <v>1.09512</v>
      </c>
      <c r="S70" t="n">
        <v>1.09512</v>
      </c>
      <c r="T70" t="n">
        <v>1.09512</v>
      </c>
      <c r="U70" t="n">
        <v>1.09512</v>
      </c>
      <c r="V70" t="n">
        <v>1.09512</v>
      </c>
      <c r="W70" t="n">
        <v>1.09512</v>
      </c>
      <c r="X70" t="n">
        <v>0.07176</v>
      </c>
      <c r="Y70" t="n">
        <v>0.07176</v>
      </c>
      <c r="Z70" t="n">
        <v>0.07176</v>
      </c>
      <c r="AA70" t="n">
        <v>0.07176</v>
      </c>
      <c r="AB70" t="n">
        <v>0.07176</v>
      </c>
      <c r="AC70" t="n">
        <v>0.07176</v>
      </c>
      <c r="AD70" t="n">
        <v>0.07176</v>
      </c>
      <c r="AE70" t="n">
        <v>0.07176</v>
      </c>
      <c r="AF70" t="n">
        <v>0.07176</v>
      </c>
      <c r="AG70" t="n">
        <v>0.07176</v>
      </c>
      <c r="AH70" t="n">
        <v>0.07176</v>
      </c>
      <c r="AI70" t="n">
        <v>0.07176</v>
      </c>
    </row>
    <row r="71">
      <c r="A71" t="n">
        <v>25</v>
      </c>
      <c r="B71" s="13" t="n">
        <v>46143</v>
      </c>
      <c r="C71" s="13" t="n">
        <v>2958465</v>
      </c>
      <c r="D71" s="13" t="n">
        <v>46143</v>
      </c>
      <c r="E71" t="n">
        <v>1</v>
      </c>
      <c r="G71" t="n">
        <v>9.635999999999999</v>
      </c>
      <c r="H71" t="n">
        <v>3.61344</v>
      </c>
      <c r="I71" t="n">
        <v>3.61344</v>
      </c>
      <c r="J71" t="n">
        <v>3.61344</v>
      </c>
      <c r="K71" t="n">
        <v>3.61344</v>
      </c>
      <c r="L71" t="n">
        <v>1.20456</v>
      </c>
      <c r="M71" t="n">
        <v>1.20456</v>
      </c>
      <c r="N71" t="n">
        <v>1.20456</v>
      </c>
      <c r="O71" t="n">
        <v>1.20456</v>
      </c>
      <c r="P71" t="n">
        <v>1.20456</v>
      </c>
      <c r="Q71" t="n">
        <v>1.20456</v>
      </c>
      <c r="R71" t="n">
        <v>1.20456</v>
      </c>
      <c r="S71" t="n">
        <v>1.20456</v>
      </c>
      <c r="T71" t="n">
        <v>1.20456</v>
      </c>
      <c r="U71" t="n">
        <v>1.20456</v>
      </c>
      <c r="V71" t="n">
        <v>1.20456</v>
      </c>
      <c r="W71" t="n">
        <v>1.20456</v>
      </c>
      <c r="X71" t="n">
        <v>0.07896</v>
      </c>
      <c r="Y71" t="n">
        <v>0.07896</v>
      </c>
      <c r="Z71" t="n">
        <v>0.07896</v>
      </c>
      <c r="AA71" t="n">
        <v>0.07896</v>
      </c>
      <c r="AB71" t="n">
        <v>0.07896</v>
      </c>
      <c r="AC71" t="n">
        <v>0.07896</v>
      </c>
      <c r="AD71" t="n">
        <v>0.07896</v>
      </c>
      <c r="AE71" t="n">
        <v>0.07896</v>
      </c>
      <c r="AF71" t="n">
        <v>0.07896</v>
      </c>
      <c r="AG71" t="n">
        <v>0.07896</v>
      </c>
      <c r="AH71" t="n">
        <v>0.07896</v>
      </c>
      <c r="AI71" t="n">
        <v>0.07896</v>
      </c>
    </row>
    <row r="72">
      <c r="A72" t="n">
        <v>26</v>
      </c>
      <c r="B72" s="13" t="n">
        <v>44562</v>
      </c>
      <c r="C72" s="13" t="n">
        <v>44926</v>
      </c>
      <c r="D72" s="13" t="n">
        <v>44562</v>
      </c>
      <c r="E72" t="n">
        <v>0</v>
      </c>
      <c r="F72" s="13" t="n">
        <v>44926</v>
      </c>
      <c r="G72" t="n">
        <v>4.0008</v>
      </c>
      <c r="H72" t="n">
        <v>1.5003</v>
      </c>
      <c r="I72" t="n">
        <v>1.5003</v>
      </c>
      <c r="J72" t="n">
        <v>1.5003</v>
      </c>
      <c r="K72" t="n">
        <v>1.5003</v>
      </c>
      <c r="L72" t="n">
        <v>0.50016</v>
      </c>
      <c r="M72" t="n">
        <v>0.50016</v>
      </c>
      <c r="N72" t="n">
        <v>0.50016</v>
      </c>
      <c r="O72" t="n">
        <v>0.50016</v>
      </c>
      <c r="P72" t="n">
        <v>0.50016</v>
      </c>
      <c r="Q72" t="n">
        <v>0.50016</v>
      </c>
      <c r="R72" t="n">
        <v>0.50016</v>
      </c>
      <c r="S72" t="n">
        <v>0.50016</v>
      </c>
      <c r="T72" t="n">
        <v>0.50016</v>
      </c>
      <c r="U72" t="n">
        <v>0.50016</v>
      </c>
      <c r="V72" t="n">
        <v>0.50016</v>
      </c>
      <c r="W72" t="n">
        <v>0.50016</v>
      </c>
      <c r="X72" t="n">
        <v>0.0328</v>
      </c>
      <c r="Y72" t="n">
        <v>0.0328</v>
      </c>
      <c r="Z72" t="n">
        <v>0.0328</v>
      </c>
      <c r="AA72" t="n">
        <v>0.0328</v>
      </c>
      <c r="AB72" t="n">
        <v>0.0328</v>
      </c>
      <c r="AC72" t="n">
        <v>0.0328</v>
      </c>
      <c r="AD72" t="n">
        <v>0.0328</v>
      </c>
      <c r="AE72" t="n">
        <v>0.0328</v>
      </c>
      <c r="AF72" t="n">
        <v>0.0328</v>
      </c>
      <c r="AG72" t="n">
        <v>0.0328</v>
      </c>
      <c r="AH72" t="n">
        <v>0.0328</v>
      </c>
      <c r="AI72" t="n">
        <v>0.0328</v>
      </c>
    </row>
    <row r="73">
      <c r="A73" t="n">
        <v>26</v>
      </c>
      <c r="B73" s="13" t="n">
        <v>44927</v>
      </c>
      <c r="C73" s="13" t="n">
        <v>45291</v>
      </c>
      <c r="D73" s="13" t="n">
        <v>44927</v>
      </c>
      <c r="E73" t="n">
        <v>0</v>
      </c>
      <c r="F73" s="13" t="n">
        <v>45291</v>
      </c>
      <c r="G73" t="n">
        <v>4.11672</v>
      </c>
      <c r="H73" t="n">
        <v>1.54377</v>
      </c>
      <c r="I73" t="n">
        <v>1.54377</v>
      </c>
      <c r="J73" t="n">
        <v>1.54377</v>
      </c>
      <c r="K73" t="n">
        <v>1.54377</v>
      </c>
      <c r="L73" t="n">
        <v>0.51456</v>
      </c>
      <c r="M73" t="n">
        <v>0.51456</v>
      </c>
      <c r="N73" t="n">
        <v>0.51456</v>
      </c>
      <c r="O73" t="n">
        <v>0.51456</v>
      </c>
      <c r="P73" t="n">
        <v>0.51456</v>
      </c>
      <c r="Q73" t="n">
        <v>0.51456</v>
      </c>
      <c r="R73" t="n">
        <v>0.51456</v>
      </c>
      <c r="S73" t="n">
        <v>0.51456</v>
      </c>
      <c r="T73" t="n">
        <v>0.51456</v>
      </c>
      <c r="U73" t="n">
        <v>0.51456</v>
      </c>
      <c r="V73" t="n">
        <v>0.51456</v>
      </c>
      <c r="W73" t="n">
        <v>0.51456</v>
      </c>
      <c r="X73" t="n">
        <v>0.03375</v>
      </c>
      <c r="Y73" t="n">
        <v>0.03375</v>
      </c>
      <c r="Z73" t="n">
        <v>0.03375</v>
      </c>
      <c r="AA73" t="n">
        <v>0.03375</v>
      </c>
      <c r="AB73" t="n">
        <v>0.03375</v>
      </c>
      <c r="AC73" t="n">
        <v>0.03375</v>
      </c>
      <c r="AD73" t="n">
        <v>0.03375</v>
      </c>
      <c r="AE73" t="n">
        <v>0.03375</v>
      </c>
      <c r="AF73" t="n">
        <v>0.03375</v>
      </c>
      <c r="AG73" t="n">
        <v>0.03375</v>
      </c>
      <c r="AH73" t="n">
        <v>0.03375</v>
      </c>
      <c r="AI73" t="n">
        <v>0.03375</v>
      </c>
    </row>
    <row r="74">
      <c r="A74" t="n">
        <v>26</v>
      </c>
      <c r="B74" s="13" t="n">
        <v>45292</v>
      </c>
      <c r="C74" s="13" t="n">
        <v>45657</v>
      </c>
      <c r="D74" s="13" t="n">
        <v>45292</v>
      </c>
      <c r="E74" t="n">
        <v>0</v>
      </c>
      <c r="F74" s="13" t="n">
        <v>45657</v>
      </c>
      <c r="G74" t="n">
        <v>4.49544</v>
      </c>
      <c r="H74" t="n">
        <v>1.68579</v>
      </c>
      <c r="I74" t="n">
        <v>1.68579</v>
      </c>
      <c r="J74" t="n">
        <v>1.68579</v>
      </c>
      <c r="K74" t="n">
        <v>1.68579</v>
      </c>
      <c r="L74" t="n">
        <v>0.56184</v>
      </c>
      <c r="M74" t="n">
        <v>0.56184</v>
      </c>
      <c r="N74" t="n">
        <v>0.56184</v>
      </c>
      <c r="O74" t="n">
        <v>0.56184</v>
      </c>
      <c r="P74" t="n">
        <v>0.56184</v>
      </c>
      <c r="Q74" t="n">
        <v>0.56184</v>
      </c>
      <c r="R74" t="n">
        <v>0.56184</v>
      </c>
      <c r="S74" t="n">
        <v>0.56184</v>
      </c>
      <c r="T74" t="n">
        <v>0.56184</v>
      </c>
      <c r="U74" t="n">
        <v>0.56184</v>
      </c>
      <c r="V74" t="n">
        <v>0.56184</v>
      </c>
      <c r="W74" t="n">
        <v>0.56184</v>
      </c>
      <c r="X74" t="n">
        <v>0.03696</v>
      </c>
      <c r="Y74" t="n">
        <v>0.03696</v>
      </c>
      <c r="Z74" t="n">
        <v>0.03696</v>
      </c>
      <c r="AA74" t="n">
        <v>0.03696</v>
      </c>
      <c r="AB74" t="n">
        <v>0.03696</v>
      </c>
      <c r="AC74" t="n">
        <v>0.03696</v>
      </c>
      <c r="AD74" t="n">
        <v>0.03696</v>
      </c>
      <c r="AE74" t="n">
        <v>0.03696</v>
      </c>
      <c r="AF74" t="n">
        <v>0.03696</v>
      </c>
      <c r="AG74" t="n">
        <v>0.03696</v>
      </c>
      <c r="AH74" t="n">
        <v>0.03696</v>
      </c>
      <c r="AI74" t="n">
        <v>0.03696</v>
      </c>
    </row>
    <row r="75">
      <c r="A75" t="n">
        <v>26</v>
      </c>
      <c r="B75" s="13" t="n">
        <v>45658</v>
      </c>
      <c r="C75" s="13" t="n">
        <v>46022</v>
      </c>
      <c r="D75" s="13" t="n">
        <v>45658</v>
      </c>
      <c r="E75" t="n">
        <v>0</v>
      </c>
      <c r="F75" s="13" t="n">
        <v>46022</v>
      </c>
      <c r="G75" t="n">
        <v>8.76</v>
      </c>
      <c r="H75" t="n">
        <v>3.28512</v>
      </c>
      <c r="I75" t="n">
        <v>3.28512</v>
      </c>
      <c r="J75" t="n">
        <v>3.28512</v>
      </c>
      <c r="K75" t="n">
        <v>3.28512</v>
      </c>
      <c r="L75" t="n">
        <v>1.09512</v>
      </c>
      <c r="M75" t="n">
        <v>1.09512</v>
      </c>
      <c r="N75" t="n">
        <v>1.09512</v>
      </c>
      <c r="O75" t="n">
        <v>1.09512</v>
      </c>
      <c r="P75" t="n">
        <v>1.09512</v>
      </c>
      <c r="Q75" t="n">
        <v>1.09512</v>
      </c>
      <c r="R75" t="n">
        <v>1.09512</v>
      </c>
      <c r="S75" t="n">
        <v>1.09512</v>
      </c>
      <c r="T75" t="n">
        <v>1.09512</v>
      </c>
      <c r="U75" t="n">
        <v>1.09512</v>
      </c>
      <c r="V75" t="n">
        <v>1.09512</v>
      </c>
      <c r="W75" t="n">
        <v>1.09512</v>
      </c>
      <c r="X75" t="n">
        <v>0.07176</v>
      </c>
      <c r="Y75" t="n">
        <v>0.07176</v>
      </c>
      <c r="Z75" t="n">
        <v>0.07176</v>
      </c>
      <c r="AA75" t="n">
        <v>0.07176</v>
      </c>
      <c r="AB75" t="n">
        <v>0.07176</v>
      </c>
      <c r="AC75" t="n">
        <v>0.07176</v>
      </c>
      <c r="AD75" t="n">
        <v>0.07176</v>
      </c>
      <c r="AE75" t="n">
        <v>0.07176</v>
      </c>
      <c r="AF75" t="n">
        <v>0.07176</v>
      </c>
      <c r="AG75" t="n">
        <v>0.07176</v>
      </c>
      <c r="AH75" t="n">
        <v>0.07176</v>
      </c>
      <c r="AI75" t="n">
        <v>0.07176</v>
      </c>
    </row>
    <row r="76">
      <c r="A76" t="n">
        <v>26</v>
      </c>
      <c r="B76" s="13" t="n">
        <v>46023</v>
      </c>
      <c r="C76" s="13" t="n">
        <v>46142</v>
      </c>
      <c r="D76" s="13" t="n">
        <v>46023</v>
      </c>
      <c r="E76" t="n">
        <v>0</v>
      </c>
      <c r="F76" s="13" t="n">
        <v>46142</v>
      </c>
      <c r="G76" t="n">
        <v>8.76</v>
      </c>
      <c r="H76" t="n">
        <v>3.28512</v>
      </c>
      <c r="I76" t="n">
        <v>3.28512</v>
      </c>
      <c r="J76" t="n">
        <v>3.28512</v>
      </c>
      <c r="K76" t="n">
        <v>3.28512</v>
      </c>
      <c r="L76" t="n">
        <v>1.09512</v>
      </c>
      <c r="M76" t="n">
        <v>1.09512</v>
      </c>
      <c r="N76" t="n">
        <v>1.09512</v>
      </c>
      <c r="O76" t="n">
        <v>1.09512</v>
      </c>
      <c r="P76" t="n">
        <v>1.09512</v>
      </c>
      <c r="Q76" t="n">
        <v>1.09512</v>
      </c>
      <c r="R76" t="n">
        <v>1.09512</v>
      </c>
      <c r="S76" t="n">
        <v>1.09512</v>
      </c>
      <c r="T76" t="n">
        <v>1.09512</v>
      </c>
      <c r="U76" t="n">
        <v>1.09512</v>
      </c>
      <c r="V76" t="n">
        <v>1.09512</v>
      </c>
      <c r="W76" t="n">
        <v>1.09512</v>
      </c>
      <c r="X76" t="n">
        <v>0.07176</v>
      </c>
      <c r="Y76" t="n">
        <v>0.07176</v>
      </c>
      <c r="Z76" t="n">
        <v>0.07176</v>
      </c>
      <c r="AA76" t="n">
        <v>0.07176</v>
      </c>
      <c r="AB76" t="n">
        <v>0.07176</v>
      </c>
      <c r="AC76" t="n">
        <v>0.07176</v>
      </c>
      <c r="AD76" t="n">
        <v>0.07176</v>
      </c>
      <c r="AE76" t="n">
        <v>0.07176</v>
      </c>
      <c r="AF76" t="n">
        <v>0.07176</v>
      </c>
      <c r="AG76" t="n">
        <v>0.07176</v>
      </c>
      <c r="AH76" t="n">
        <v>0.07176</v>
      </c>
      <c r="AI76" t="n">
        <v>0.07176</v>
      </c>
    </row>
    <row r="77">
      <c r="A77" t="n">
        <v>26</v>
      </c>
      <c r="B77" s="13" t="n">
        <v>46143</v>
      </c>
      <c r="C77" s="13" t="n">
        <v>2958465</v>
      </c>
      <c r="D77" s="13" t="n">
        <v>46143</v>
      </c>
      <c r="E77" t="n">
        <v>1</v>
      </c>
      <c r="G77" t="n">
        <v>9.635999999999999</v>
      </c>
      <c r="H77" t="n">
        <v>3.61344</v>
      </c>
      <c r="I77" t="n">
        <v>3.61344</v>
      </c>
      <c r="J77" t="n">
        <v>3.61344</v>
      </c>
      <c r="K77" t="n">
        <v>3.61344</v>
      </c>
      <c r="L77" t="n">
        <v>1.20456</v>
      </c>
      <c r="M77" t="n">
        <v>1.20456</v>
      </c>
      <c r="N77" t="n">
        <v>1.20456</v>
      </c>
      <c r="O77" t="n">
        <v>1.20456</v>
      </c>
      <c r="P77" t="n">
        <v>1.20456</v>
      </c>
      <c r="Q77" t="n">
        <v>1.20456</v>
      </c>
      <c r="R77" t="n">
        <v>1.20456</v>
      </c>
      <c r="S77" t="n">
        <v>1.20456</v>
      </c>
      <c r="T77" t="n">
        <v>1.20456</v>
      </c>
      <c r="U77" t="n">
        <v>1.20456</v>
      </c>
      <c r="V77" t="n">
        <v>1.20456</v>
      </c>
      <c r="W77" t="n">
        <v>1.20456</v>
      </c>
      <c r="X77" t="n">
        <v>0.07896</v>
      </c>
      <c r="Y77" t="n">
        <v>0.07896</v>
      </c>
      <c r="Z77" t="n">
        <v>0.07896</v>
      </c>
      <c r="AA77" t="n">
        <v>0.07896</v>
      </c>
      <c r="AB77" t="n">
        <v>0.07896</v>
      </c>
      <c r="AC77" t="n">
        <v>0.07896</v>
      </c>
      <c r="AD77" t="n">
        <v>0.07896</v>
      </c>
      <c r="AE77" t="n">
        <v>0.07896</v>
      </c>
      <c r="AF77" t="n">
        <v>0.07896</v>
      </c>
      <c r="AG77" t="n">
        <v>0.07896</v>
      </c>
      <c r="AH77" t="n">
        <v>0.07896</v>
      </c>
      <c r="AI77" t="n">
        <v>0.07896</v>
      </c>
    </row>
    <row r="78">
      <c r="A78" t="n">
        <v>27</v>
      </c>
      <c r="B78" s="13" t="n">
        <v>44562</v>
      </c>
      <c r="C78" s="13" t="n">
        <v>44926</v>
      </c>
      <c r="D78" s="13" t="n">
        <v>44562</v>
      </c>
      <c r="E78" t="n">
        <v>0</v>
      </c>
      <c r="F78" s="13" t="n">
        <v>44926</v>
      </c>
      <c r="G78" t="n">
        <v>4.0008</v>
      </c>
      <c r="H78" t="n">
        <v>1.5003</v>
      </c>
      <c r="I78" t="n">
        <v>1.5003</v>
      </c>
      <c r="J78" t="n">
        <v>1.5003</v>
      </c>
      <c r="K78" t="n">
        <v>1.5003</v>
      </c>
      <c r="L78" t="n">
        <v>0.50016</v>
      </c>
      <c r="M78" t="n">
        <v>0.50016</v>
      </c>
      <c r="N78" t="n">
        <v>0.50016</v>
      </c>
      <c r="O78" t="n">
        <v>0.50016</v>
      </c>
      <c r="P78" t="n">
        <v>0.50016</v>
      </c>
      <c r="Q78" t="n">
        <v>0.50016</v>
      </c>
      <c r="R78" t="n">
        <v>0.50016</v>
      </c>
      <c r="S78" t="n">
        <v>0.50016</v>
      </c>
      <c r="T78" t="n">
        <v>0.50016</v>
      </c>
      <c r="U78" t="n">
        <v>0.50016</v>
      </c>
      <c r="V78" t="n">
        <v>0.50016</v>
      </c>
      <c r="W78" t="n">
        <v>0.50016</v>
      </c>
      <c r="X78" t="n">
        <v>0.03288</v>
      </c>
      <c r="Y78" t="n">
        <v>0.03288</v>
      </c>
      <c r="Z78" t="n">
        <v>0.03288</v>
      </c>
      <c r="AA78" t="n">
        <v>0.03288</v>
      </c>
      <c r="AB78" t="n">
        <v>0.03288</v>
      </c>
      <c r="AC78" t="n">
        <v>0.03288</v>
      </c>
      <c r="AD78" t="n">
        <v>0.03288</v>
      </c>
      <c r="AE78" t="n">
        <v>0.03288</v>
      </c>
      <c r="AF78" t="n">
        <v>0.03288</v>
      </c>
      <c r="AG78" t="n">
        <v>0.03288</v>
      </c>
      <c r="AH78" t="n">
        <v>0.03288</v>
      </c>
      <c r="AI78" t="n">
        <v>0.03288</v>
      </c>
    </row>
    <row r="79">
      <c r="A79" t="n">
        <v>27</v>
      </c>
      <c r="B79" s="13" t="n">
        <v>44927</v>
      </c>
      <c r="C79" s="13" t="n">
        <v>45291</v>
      </c>
      <c r="D79" s="13" t="n">
        <v>44927</v>
      </c>
      <c r="E79" t="n">
        <v>0</v>
      </c>
      <c r="F79" s="13" t="n">
        <v>45291</v>
      </c>
      <c r="G79" t="n">
        <v>4.11672</v>
      </c>
      <c r="H79" t="n">
        <v>1.54377</v>
      </c>
      <c r="I79" t="n">
        <v>1.54377</v>
      </c>
      <c r="J79" t="n">
        <v>1.54377</v>
      </c>
      <c r="K79" t="n">
        <v>1.54377</v>
      </c>
      <c r="L79" t="n">
        <v>0.51456</v>
      </c>
      <c r="M79" t="n">
        <v>0.51456</v>
      </c>
      <c r="N79" t="n">
        <v>0.51456</v>
      </c>
      <c r="O79" t="n">
        <v>0.51456</v>
      </c>
      <c r="P79" t="n">
        <v>0.51456</v>
      </c>
      <c r="Q79" t="n">
        <v>0.51456</v>
      </c>
      <c r="R79" t="n">
        <v>0.51456</v>
      </c>
      <c r="S79" t="n">
        <v>0.51456</v>
      </c>
      <c r="T79" t="n">
        <v>0.51456</v>
      </c>
      <c r="U79" t="n">
        <v>0.51456</v>
      </c>
      <c r="V79" t="n">
        <v>0.51456</v>
      </c>
      <c r="W79" t="n">
        <v>0.51456</v>
      </c>
      <c r="X79" t="n">
        <v>0.03375</v>
      </c>
      <c r="Y79" t="n">
        <v>0.03375</v>
      </c>
      <c r="Z79" t="n">
        <v>0.03375</v>
      </c>
      <c r="AA79" t="n">
        <v>0.03375</v>
      </c>
      <c r="AB79" t="n">
        <v>0.03375</v>
      </c>
      <c r="AC79" t="n">
        <v>0.03375</v>
      </c>
      <c r="AD79" t="n">
        <v>0.03375</v>
      </c>
      <c r="AE79" t="n">
        <v>0.03375</v>
      </c>
      <c r="AF79" t="n">
        <v>0.03375</v>
      </c>
      <c r="AG79" t="n">
        <v>0.03375</v>
      </c>
      <c r="AH79" t="n">
        <v>0.03375</v>
      </c>
      <c r="AI79" t="n">
        <v>0.03375</v>
      </c>
    </row>
    <row r="80">
      <c r="A80" t="n">
        <v>27</v>
      </c>
      <c r="B80" s="13" t="n">
        <v>45292</v>
      </c>
      <c r="C80" s="13" t="n">
        <v>45657</v>
      </c>
      <c r="D80" s="13" t="n">
        <v>45292</v>
      </c>
      <c r="E80" t="n">
        <v>0</v>
      </c>
      <c r="F80" s="13" t="n">
        <v>45657</v>
      </c>
      <c r="G80" t="n">
        <v>4.49544</v>
      </c>
      <c r="H80" t="n">
        <v>1.68579</v>
      </c>
      <c r="I80" t="n">
        <v>1.68579</v>
      </c>
      <c r="J80" t="n">
        <v>1.68579</v>
      </c>
      <c r="K80" t="n">
        <v>1.68579</v>
      </c>
      <c r="L80" t="n">
        <v>0.56184</v>
      </c>
      <c r="M80" t="n">
        <v>0.56184</v>
      </c>
      <c r="N80" t="n">
        <v>0.56184</v>
      </c>
      <c r="O80" t="n">
        <v>0.56184</v>
      </c>
      <c r="P80" t="n">
        <v>0.56184</v>
      </c>
      <c r="Q80" t="n">
        <v>0.56184</v>
      </c>
      <c r="R80" t="n">
        <v>0.56184</v>
      </c>
      <c r="S80" t="n">
        <v>0.56184</v>
      </c>
      <c r="T80" t="n">
        <v>0.56184</v>
      </c>
      <c r="U80" t="n">
        <v>0.56184</v>
      </c>
      <c r="V80" t="n">
        <v>0.56184</v>
      </c>
      <c r="W80" t="n">
        <v>0.56184</v>
      </c>
      <c r="X80" t="n">
        <v>0.03696</v>
      </c>
      <c r="Y80" t="n">
        <v>0.03696</v>
      </c>
      <c r="Z80" t="n">
        <v>0.03696</v>
      </c>
      <c r="AA80" t="n">
        <v>0.03696</v>
      </c>
      <c r="AB80" t="n">
        <v>0.03696</v>
      </c>
      <c r="AC80" t="n">
        <v>0.03696</v>
      </c>
      <c r="AD80" t="n">
        <v>0.03696</v>
      </c>
      <c r="AE80" t="n">
        <v>0.03696</v>
      </c>
      <c r="AF80" t="n">
        <v>0.03696</v>
      </c>
      <c r="AG80" t="n">
        <v>0.03696</v>
      </c>
      <c r="AH80" t="n">
        <v>0.03696</v>
      </c>
      <c r="AI80" t="n">
        <v>0.03696</v>
      </c>
    </row>
    <row r="81">
      <c r="A81" t="n">
        <v>27</v>
      </c>
      <c r="B81" s="13" t="n">
        <v>45658</v>
      </c>
      <c r="C81" s="13" t="n">
        <v>46022</v>
      </c>
      <c r="D81" s="13" t="n">
        <v>45658</v>
      </c>
      <c r="E81" t="n">
        <v>0</v>
      </c>
      <c r="F81" s="13" t="n">
        <v>46022</v>
      </c>
      <c r="G81" t="n">
        <v>8.76</v>
      </c>
      <c r="H81" t="n">
        <v>3.28512</v>
      </c>
      <c r="I81" t="n">
        <v>3.28512</v>
      </c>
      <c r="J81" t="n">
        <v>3.28512</v>
      </c>
      <c r="K81" t="n">
        <v>3.28512</v>
      </c>
      <c r="L81" t="n">
        <v>1.09512</v>
      </c>
      <c r="M81" t="n">
        <v>1.09512</v>
      </c>
      <c r="N81" t="n">
        <v>1.09512</v>
      </c>
      <c r="O81" t="n">
        <v>1.09512</v>
      </c>
      <c r="P81" t="n">
        <v>1.09512</v>
      </c>
      <c r="Q81" t="n">
        <v>1.09512</v>
      </c>
      <c r="R81" t="n">
        <v>1.09512</v>
      </c>
      <c r="S81" t="n">
        <v>1.09512</v>
      </c>
      <c r="T81" t="n">
        <v>1.09512</v>
      </c>
      <c r="U81" t="n">
        <v>1.09512</v>
      </c>
      <c r="V81" t="n">
        <v>1.09512</v>
      </c>
      <c r="W81" t="n">
        <v>1.09512</v>
      </c>
      <c r="X81" t="n">
        <v>0.07176</v>
      </c>
      <c r="Y81" t="n">
        <v>0.07176</v>
      </c>
      <c r="Z81" t="n">
        <v>0.07176</v>
      </c>
      <c r="AA81" t="n">
        <v>0.07176</v>
      </c>
      <c r="AB81" t="n">
        <v>0.07176</v>
      </c>
      <c r="AC81" t="n">
        <v>0.07176</v>
      </c>
      <c r="AD81" t="n">
        <v>0.07176</v>
      </c>
      <c r="AE81" t="n">
        <v>0.07176</v>
      </c>
      <c r="AF81" t="n">
        <v>0.07176</v>
      </c>
      <c r="AG81" t="n">
        <v>0.07176</v>
      </c>
      <c r="AH81" t="n">
        <v>0.07176</v>
      </c>
      <c r="AI81" t="n">
        <v>0.07176</v>
      </c>
    </row>
    <row r="82">
      <c r="A82" t="n">
        <v>27</v>
      </c>
      <c r="B82" s="13" t="n">
        <v>46023</v>
      </c>
      <c r="C82" s="13" t="n">
        <v>46142</v>
      </c>
      <c r="D82" s="13" t="n">
        <v>46023</v>
      </c>
      <c r="E82" t="n">
        <v>0</v>
      </c>
      <c r="F82" s="13" t="n">
        <v>46142</v>
      </c>
      <c r="G82" t="n">
        <v>8.76</v>
      </c>
      <c r="H82" t="n">
        <v>3.28512</v>
      </c>
      <c r="I82" t="n">
        <v>3.28512</v>
      </c>
      <c r="J82" t="n">
        <v>3.28512</v>
      </c>
      <c r="K82" t="n">
        <v>3.28512</v>
      </c>
      <c r="L82" t="n">
        <v>1.09512</v>
      </c>
      <c r="M82" t="n">
        <v>1.09512</v>
      </c>
      <c r="N82" t="n">
        <v>1.09512</v>
      </c>
      <c r="O82" t="n">
        <v>1.09512</v>
      </c>
      <c r="P82" t="n">
        <v>1.09512</v>
      </c>
      <c r="Q82" t="n">
        <v>1.09512</v>
      </c>
      <c r="R82" t="n">
        <v>1.09512</v>
      </c>
      <c r="S82" t="n">
        <v>1.09512</v>
      </c>
      <c r="T82" t="n">
        <v>1.09512</v>
      </c>
      <c r="U82" t="n">
        <v>1.09512</v>
      </c>
      <c r="V82" t="n">
        <v>1.09512</v>
      </c>
      <c r="W82" t="n">
        <v>1.09512</v>
      </c>
      <c r="X82" t="n">
        <v>0.07176</v>
      </c>
      <c r="Y82" t="n">
        <v>0.07176</v>
      </c>
      <c r="Z82" t="n">
        <v>0.07176</v>
      </c>
      <c r="AA82" t="n">
        <v>0.07176</v>
      </c>
      <c r="AB82" t="n">
        <v>0.07176</v>
      </c>
      <c r="AC82" t="n">
        <v>0.07176</v>
      </c>
      <c r="AD82" t="n">
        <v>0.07176</v>
      </c>
      <c r="AE82" t="n">
        <v>0.07176</v>
      </c>
      <c r="AF82" t="n">
        <v>0.07176</v>
      </c>
      <c r="AG82" t="n">
        <v>0.07176</v>
      </c>
      <c r="AH82" t="n">
        <v>0.07176</v>
      </c>
      <c r="AI82" t="n">
        <v>0.07176</v>
      </c>
    </row>
    <row r="83">
      <c r="A83" t="n">
        <v>27</v>
      </c>
      <c r="B83" s="13" t="n">
        <v>46143</v>
      </c>
      <c r="C83" s="13" t="n">
        <v>2958465</v>
      </c>
      <c r="D83" s="13" t="n">
        <v>46143</v>
      </c>
      <c r="E83" t="n">
        <v>1</v>
      </c>
      <c r="G83" t="n">
        <v>9.635999999999999</v>
      </c>
      <c r="H83" t="n">
        <v>3.61344</v>
      </c>
      <c r="I83" t="n">
        <v>3.61344</v>
      </c>
      <c r="J83" t="n">
        <v>3.61344</v>
      </c>
      <c r="K83" t="n">
        <v>3.61344</v>
      </c>
      <c r="L83" t="n">
        <v>1.20456</v>
      </c>
      <c r="M83" t="n">
        <v>1.20456</v>
      </c>
      <c r="N83" t="n">
        <v>1.20456</v>
      </c>
      <c r="O83" t="n">
        <v>1.20456</v>
      </c>
      <c r="P83" t="n">
        <v>1.20456</v>
      </c>
      <c r="Q83" t="n">
        <v>1.20456</v>
      </c>
      <c r="R83" t="n">
        <v>1.20456</v>
      </c>
      <c r="S83" t="n">
        <v>1.20456</v>
      </c>
      <c r="T83" t="n">
        <v>1.20456</v>
      </c>
      <c r="U83" t="n">
        <v>1.20456</v>
      </c>
      <c r="V83" t="n">
        <v>1.20456</v>
      </c>
      <c r="W83" t="n">
        <v>1.20456</v>
      </c>
      <c r="X83" t="n">
        <v>0.07896</v>
      </c>
      <c r="Y83" t="n">
        <v>0.07896</v>
      </c>
      <c r="Z83" t="n">
        <v>0.07896</v>
      </c>
      <c r="AA83" t="n">
        <v>0.07896</v>
      </c>
      <c r="AB83" t="n">
        <v>0.07896</v>
      </c>
      <c r="AC83" t="n">
        <v>0.07896</v>
      </c>
      <c r="AD83" t="n">
        <v>0.07896</v>
      </c>
      <c r="AE83" t="n">
        <v>0.07896</v>
      </c>
      <c r="AF83" t="n">
        <v>0.07896</v>
      </c>
      <c r="AG83" t="n">
        <v>0.07896</v>
      </c>
      <c r="AH83" t="n">
        <v>0.07896</v>
      </c>
      <c r="AI83" t="n">
        <v>0.07896</v>
      </c>
    </row>
    <row r="84">
      <c r="A84" t="n">
        <v>28</v>
      </c>
      <c r="B84" s="13" t="n">
        <v>44562</v>
      </c>
      <c r="C84" s="13" t="n">
        <v>44926</v>
      </c>
      <c r="D84" s="13" t="n">
        <v>44562</v>
      </c>
      <c r="E84" t="n">
        <v>0</v>
      </c>
      <c r="F84" s="13" t="n">
        <v>44926</v>
      </c>
      <c r="G84" t="n">
        <v>4.0008</v>
      </c>
      <c r="H84" t="n">
        <v>1.5003</v>
      </c>
      <c r="I84" t="n">
        <v>1.5003</v>
      </c>
      <c r="J84" t="n">
        <v>1.5003</v>
      </c>
      <c r="K84" t="n">
        <v>1.5003</v>
      </c>
      <c r="L84" t="n">
        <v>0.50016</v>
      </c>
      <c r="M84" t="n">
        <v>0.50016</v>
      </c>
      <c r="N84" t="n">
        <v>0.50016</v>
      </c>
      <c r="O84" t="n">
        <v>0.50016</v>
      </c>
      <c r="P84" t="n">
        <v>0.50016</v>
      </c>
      <c r="Q84" t="n">
        <v>0.50016</v>
      </c>
      <c r="R84" t="n">
        <v>0.50016</v>
      </c>
      <c r="S84" t="n">
        <v>0.50016</v>
      </c>
      <c r="T84" t="n">
        <v>0.50016</v>
      </c>
      <c r="U84" t="n">
        <v>0.50016</v>
      </c>
      <c r="V84" t="n">
        <v>0.50016</v>
      </c>
      <c r="W84" t="n">
        <v>0.50016</v>
      </c>
      <c r="X84" t="n">
        <v>0.0328</v>
      </c>
      <c r="Y84" t="n">
        <v>0.0328</v>
      </c>
      <c r="Z84" t="n">
        <v>0.0328</v>
      </c>
      <c r="AA84" t="n">
        <v>0.0328</v>
      </c>
      <c r="AB84" t="n">
        <v>0.0328</v>
      </c>
      <c r="AC84" t="n">
        <v>0.0328</v>
      </c>
      <c r="AD84" t="n">
        <v>0.0328</v>
      </c>
      <c r="AE84" t="n">
        <v>0.0328</v>
      </c>
      <c r="AF84" t="n">
        <v>0.0328</v>
      </c>
      <c r="AG84" t="n">
        <v>0.0328</v>
      </c>
      <c r="AH84" t="n">
        <v>0.0328</v>
      </c>
      <c r="AI84" t="n">
        <v>0.0328</v>
      </c>
    </row>
    <row r="85">
      <c r="A85" t="n">
        <v>28</v>
      </c>
      <c r="B85" s="13" t="n">
        <v>44927</v>
      </c>
      <c r="C85" s="13" t="n">
        <v>45291</v>
      </c>
      <c r="D85" s="13" t="n">
        <v>44927</v>
      </c>
      <c r="E85" t="n">
        <v>0</v>
      </c>
      <c r="F85" s="13" t="n">
        <v>45291</v>
      </c>
      <c r="G85" t="n">
        <v>4.11672</v>
      </c>
      <c r="H85" t="n">
        <v>1.54377</v>
      </c>
      <c r="I85" t="n">
        <v>1.54377</v>
      </c>
      <c r="J85" t="n">
        <v>1.54377</v>
      </c>
      <c r="K85" t="n">
        <v>1.54377</v>
      </c>
      <c r="L85" t="n">
        <v>0.51456</v>
      </c>
      <c r="M85" t="n">
        <v>0.51456</v>
      </c>
      <c r="N85" t="n">
        <v>0.51456</v>
      </c>
      <c r="O85" t="n">
        <v>0.51456</v>
      </c>
      <c r="P85" t="n">
        <v>0.51456</v>
      </c>
      <c r="Q85" t="n">
        <v>0.51456</v>
      </c>
      <c r="R85" t="n">
        <v>0.51456</v>
      </c>
      <c r="S85" t="n">
        <v>0.51456</v>
      </c>
      <c r="T85" t="n">
        <v>0.51456</v>
      </c>
      <c r="U85" t="n">
        <v>0.51456</v>
      </c>
      <c r="V85" t="n">
        <v>0.51456</v>
      </c>
      <c r="W85" t="n">
        <v>0.51456</v>
      </c>
      <c r="X85" t="n">
        <v>0.03375</v>
      </c>
      <c r="Y85" t="n">
        <v>0.03375</v>
      </c>
      <c r="Z85" t="n">
        <v>0.03375</v>
      </c>
      <c r="AA85" t="n">
        <v>0.03375</v>
      </c>
      <c r="AB85" t="n">
        <v>0.03375</v>
      </c>
      <c r="AC85" t="n">
        <v>0.03375</v>
      </c>
      <c r="AD85" t="n">
        <v>0.03375</v>
      </c>
      <c r="AE85" t="n">
        <v>0.03375</v>
      </c>
      <c r="AF85" t="n">
        <v>0.03375</v>
      </c>
      <c r="AG85" t="n">
        <v>0.03375</v>
      </c>
      <c r="AH85" t="n">
        <v>0.03375</v>
      </c>
      <c r="AI85" t="n">
        <v>0.03375</v>
      </c>
    </row>
    <row r="86">
      <c r="A86" t="n">
        <v>28</v>
      </c>
      <c r="B86" s="13" t="n">
        <v>45292</v>
      </c>
      <c r="C86" s="13" t="n">
        <v>45657</v>
      </c>
      <c r="D86" s="13" t="n">
        <v>45292</v>
      </c>
      <c r="E86" t="n">
        <v>0</v>
      </c>
      <c r="F86" s="13" t="n">
        <v>45657</v>
      </c>
      <c r="G86" t="n">
        <v>4.49544</v>
      </c>
      <c r="H86" t="n">
        <v>1.68579</v>
      </c>
      <c r="I86" t="n">
        <v>1.68579</v>
      </c>
      <c r="J86" t="n">
        <v>1.68579</v>
      </c>
      <c r="K86" t="n">
        <v>1.68579</v>
      </c>
      <c r="L86" t="n">
        <v>0.56184</v>
      </c>
      <c r="M86" t="n">
        <v>0.56184</v>
      </c>
      <c r="N86" t="n">
        <v>0.56184</v>
      </c>
      <c r="O86" t="n">
        <v>0.56184</v>
      </c>
      <c r="P86" t="n">
        <v>0.56184</v>
      </c>
      <c r="Q86" t="n">
        <v>0.56184</v>
      </c>
      <c r="R86" t="n">
        <v>0.56184</v>
      </c>
      <c r="S86" t="n">
        <v>0.56184</v>
      </c>
      <c r="T86" t="n">
        <v>0.56184</v>
      </c>
      <c r="U86" t="n">
        <v>0.56184</v>
      </c>
      <c r="V86" t="n">
        <v>0.56184</v>
      </c>
      <c r="W86" t="n">
        <v>0.56184</v>
      </c>
      <c r="X86" t="n">
        <v>0.03696</v>
      </c>
      <c r="Y86" t="n">
        <v>0.03696</v>
      </c>
      <c r="Z86" t="n">
        <v>0.03696</v>
      </c>
      <c r="AA86" t="n">
        <v>0.03696</v>
      </c>
      <c r="AB86" t="n">
        <v>0.03696</v>
      </c>
      <c r="AC86" t="n">
        <v>0.03696</v>
      </c>
      <c r="AD86" t="n">
        <v>0.03696</v>
      </c>
      <c r="AE86" t="n">
        <v>0.03696</v>
      </c>
      <c r="AF86" t="n">
        <v>0.03696</v>
      </c>
      <c r="AG86" t="n">
        <v>0.03696</v>
      </c>
      <c r="AH86" t="n">
        <v>0.03696</v>
      </c>
      <c r="AI86" t="n">
        <v>0.03696</v>
      </c>
    </row>
    <row r="87">
      <c r="A87" t="n">
        <v>28</v>
      </c>
      <c r="B87" s="13" t="n">
        <v>45658</v>
      </c>
      <c r="C87" s="13" t="n">
        <v>46022</v>
      </c>
      <c r="D87" s="13" t="n">
        <v>45658</v>
      </c>
      <c r="E87" t="n">
        <v>0</v>
      </c>
      <c r="F87" s="13" t="n">
        <v>46022</v>
      </c>
      <c r="G87" t="n">
        <v>8.76</v>
      </c>
      <c r="H87" t="n">
        <v>3.28512</v>
      </c>
      <c r="I87" t="n">
        <v>3.28512</v>
      </c>
      <c r="J87" t="n">
        <v>3.28512</v>
      </c>
      <c r="K87" t="n">
        <v>3.28512</v>
      </c>
      <c r="L87" t="n">
        <v>1.09512</v>
      </c>
      <c r="M87" t="n">
        <v>1.09512</v>
      </c>
      <c r="N87" t="n">
        <v>1.09512</v>
      </c>
      <c r="O87" t="n">
        <v>1.09512</v>
      </c>
      <c r="P87" t="n">
        <v>1.09512</v>
      </c>
      <c r="Q87" t="n">
        <v>1.09512</v>
      </c>
      <c r="R87" t="n">
        <v>1.09512</v>
      </c>
      <c r="S87" t="n">
        <v>1.09512</v>
      </c>
      <c r="T87" t="n">
        <v>1.09512</v>
      </c>
      <c r="U87" t="n">
        <v>1.09512</v>
      </c>
      <c r="V87" t="n">
        <v>1.09512</v>
      </c>
      <c r="W87" t="n">
        <v>1.09512</v>
      </c>
      <c r="X87" t="n">
        <v>0.07176</v>
      </c>
      <c r="Y87" t="n">
        <v>0.07176</v>
      </c>
      <c r="Z87" t="n">
        <v>0.07176</v>
      </c>
      <c r="AA87" t="n">
        <v>0.07176</v>
      </c>
      <c r="AB87" t="n">
        <v>0.07176</v>
      </c>
      <c r="AC87" t="n">
        <v>0.07176</v>
      </c>
      <c r="AD87" t="n">
        <v>0.07176</v>
      </c>
      <c r="AE87" t="n">
        <v>0.07176</v>
      </c>
      <c r="AF87" t="n">
        <v>0.07176</v>
      </c>
      <c r="AG87" t="n">
        <v>0.07176</v>
      </c>
      <c r="AH87" t="n">
        <v>0.07176</v>
      </c>
      <c r="AI87" t="n">
        <v>0.07176</v>
      </c>
    </row>
    <row r="88">
      <c r="A88" t="n">
        <v>28</v>
      </c>
      <c r="B88" s="13" t="n">
        <v>46023</v>
      </c>
      <c r="C88" s="13" t="n">
        <v>46142</v>
      </c>
      <c r="D88" s="13" t="n">
        <v>46023</v>
      </c>
      <c r="E88" t="n">
        <v>0</v>
      </c>
      <c r="F88" s="13" t="n">
        <v>46142</v>
      </c>
      <c r="G88" t="n">
        <v>8.76</v>
      </c>
      <c r="H88" t="n">
        <v>3.28512</v>
      </c>
      <c r="I88" t="n">
        <v>3.28512</v>
      </c>
      <c r="J88" t="n">
        <v>3.28512</v>
      </c>
      <c r="K88" t="n">
        <v>3.28512</v>
      </c>
      <c r="L88" t="n">
        <v>1.09512</v>
      </c>
      <c r="M88" t="n">
        <v>1.09512</v>
      </c>
      <c r="N88" t="n">
        <v>1.09512</v>
      </c>
      <c r="O88" t="n">
        <v>1.09512</v>
      </c>
      <c r="P88" t="n">
        <v>1.09512</v>
      </c>
      <c r="Q88" t="n">
        <v>1.09512</v>
      </c>
      <c r="R88" t="n">
        <v>1.09512</v>
      </c>
      <c r="S88" t="n">
        <v>1.09512</v>
      </c>
      <c r="T88" t="n">
        <v>1.09512</v>
      </c>
      <c r="U88" t="n">
        <v>1.09512</v>
      </c>
      <c r="V88" t="n">
        <v>1.09512</v>
      </c>
      <c r="W88" t="n">
        <v>1.09512</v>
      </c>
      <c r="X88" t="n">
        <v>0.07176</v>
      </c>
      <c r="Y88" t="n">
        <v>0.07176</v>
      </c>
      <c r="Z88" t="n">
        <v>0.07176</v>
      </c>
      <c r="AA88" t="n">
        <v>0.07176</v>
      </c>
      <c r="AB88" t="n">
        <v>0.07176</v>
      </c>
      <c r="AC88" t="n">
        <v>0.07176</v>
      </c>
      <c r="AD88" t="n">
        <v>0.07176</v>
      </c>
      <c r="AE88" t="n">
        <v>0.07176</v>
      </c>
      <c r="AF88" t="n">
        <v>0.07176</v>
      </c>
      <c r="AG88" t="n">
        <v>0.07176</v>
      </c>
      <c r="AH88" t="n">
        <v>0.07176</v>
      </c>
      <c r="AI88" t="n">
        <v>0.07176</v>
      </c>
    </row>
    <row r="89">
      <c r="A89" t="n">
        <v>28</v>
      </c>
      <c r="B89" s="13" t="n">
        <v>46143</v>
      </c>
      <c r="C89" s="13" t="n">
        <v>2958465</v>
      </c>
      <c r="D89" s="13" t="n">
        <v>46143</v>
      </c>
      <c r="E89" t="n">
        <v>1</v>
      </c>
      <c r="G89" t="n">
        <v>9.635999999999999</v>
      </c>
      <c r="H89" t="n">
        <v>3.61344</v>
      </c>
      <c r="I89" t="n">
        <v>3.61344</v>
      </c>
      <c r="J89" t="n">
        <v>3.61344</v>
      </c>
      <c r="K89" t="n">
        <v>3.61344</v>
      </c>
      <c r="L89" t="n">
        <v>1.20456</v>
      </c>
      <c r="M89" t="n">
        <v>1.20456</v>
      </c>
      <c r="N89" t="n">
        <v>1.20456</v>
      </c>
      <c r="O89" t="n">
        <v>1.20456</v>
      </c>
      <c r="P89" t="n">
        <v>1.20456</v>
      </c>
      <c r="Q89" t="n">
        <v>1.20456</v>
      </c>
      <c r="R89" t="n">
        <v>1.20456</v>
      </c>
      <c r="S89" t="n">
        <v>1.20456</v>
      </c>
      <c r="T89" t="n">
        <v>1.20456</v>
      </c>
      <c r="U89" t="n">
        <v>1.20456</v>
      </c>
      <c r="V89" t="n">
        <v>1.20456</v>
      </c>
      <c r="W89" t="n">
        <v>1.20456</v>
      </c>
      <c r="X89" t="n">
        <v>0.07896</v>
      </c>
      <c r="Y89" t="n">
        <v>0.07896</v>
      </c>
      <c r="Z89" t="n">
        <v>0.07896</v>
      </c>
      <c r="AA89" t="n">
        <v>0.07896</v>
      </c>
      <c r="AB89" t="n">
        <v>0.07896</v>
      </c>
      <c r="AC89" t="n">
        <v>0.07896</v>
      </c>
      <c r="AD89" t="n">
        <v>0.07896</v>
      </c>
      <c r="AE89" t="n">
        <v>0.07896</v>
      </c>
      <c r="AF89" t="n">
        <v>0.07896</v>
      </c>
      <c r="AG89" t="n">
        <v>0.07896</v>
      </c>
      <c r="AH89" t="n">
        <v>0.07896</v>
      </c>
      <c r="AI89" t="n">
        <v>0.07896</v>
      </c>
    </row>
    <row r="90">
      <c r="A90" t="n">
        <v>29</v>
      </c>
      <c r="B90" s="13" t="n">
        <v>44562</v>
      </c>
      <c r="C90" s="13" t="n">
        <v>44926</v>
      </c>
      <c r="D90" s="13" t="n">
        <v>44562</v>
      </c>
      <c r="E90" t="n">
        <v>0</v>
      </c>
      <c r="F90" s="13" t="n">
        <v>44926</v>
      </c>
      <c r="G90" t="n">
        <v>5.66808</v>
      </c>
      <c r="H90" t="n">
        <v>1e-06</v>
      </c>
      <c r="I90" t="n">
        <v>1e-06</v>
      </c>
      <c r="J90" t="n">
        <v>1e-06</v>
      </c>
      <c r="K90" t="n">
        <v>1e-06</v>
      </c>
      <c r="L90" t="n">
        <v>1.133616</v>
      </c>
      <c r="M90" t="n">
        <v>1.133616</v>
      </c>
      <c r="N90" t="n">
        <v>1.133616</v>
      </c>
      <c r="O90" t="n">
        <v>1.133616</v>
      </c>
      <c r="P90" t="n">
        <v>1.133616</v>
      </c>
      <c r="Q90" t="n">
        <v>1.133616</v>
      </c>
      <c r="R90" t="n">
        <v>1.133616</v>
      </c>
      <c r="S90" t="n">
        <v>1.133616</v>
      </c>
      <c r="T90" t="n">
        <v>1.133616</v>
      </c>
      <c r="U90" t="n">
        <v>1.133616</v>
      </c>
      <c r="V90" t="n">
        <v>1.133616</v>
      </c>
      <c r="W90" t="n">
        <v>1.133616</v>
      </c>
      <c r="X90" t="n">
        <v>0.046478</v>
      </c>
      <c r="Y90" t="n">
        <v>0.046478</v>
      </c>
      <c r="Z90" t="n">
        <v>0.046478</v>
      </c>
      <c r="AA90" t="n">
        <v>0.046478</v>
      </c>
      <c r="AB90" t="n">
        <v>0.046478</v>
      </c>
      <c r="AC90" t="n">
        <v>0.046478</v>
      </c>
      <c r="AD90" t="n">
        <v>0.046478</v>
      </c>
      <c r="AE90" t="n">
        <v>0.046478</v>
      </c>
      <c r="AF90" t="n">
        <v>0.046478</v>
      </c>
      <c r="AG90" t="n">
        <v>0.046478</v>
      </c>
      <c r="AH90" t="n">
        <v>0.046478</v>
      </c>
      <c r="AI90" t="n">
        <v>0.046478</v>
      </c>
    </row>
    <row r="91">
      <c r="A91" t="n">
        <v>29</v>
      </c>
      <c r="B91" s="13" t="n">
        <v>44927</v>
      </c>
      <c r="C91" s="13" t="n">
        <v>45291</v>
      </c>
      <c r="D91" s="13" t="n">
        <v>44927</v>
      </c>
      <c r="E91" t="n">
        <v>0</v>
      </c>
      <c r="F91" s="13" t="n">
        <v>45291</v>
      </c>
      <c r="G91" t="n">
        <v>5.66808</v>
      </c>
      <c r="H91" t="n">
        <v>1e-06</v>
      </c>
      <c r="I91" t="n">
        <v>1e-06</v>
      </c>
      <c r="J91" t="n">
        <v>1e-06</v>
      </c>
      <c r="K91" t="n">
        <v>1e-06</v>
      </c>
      <c r="L91" t="n">
        <v>1.133616</v>
      </c>
      <c r="M91" t="n">
        <v>1.133616</v>
      </c>
      <c r="N91" t="n">
        <v>1.133616</v>
      </c>
      <c r="O91" t="n">
        <v>1.133616</v>
      </c>
      <c r="P91" t="n">
        <v>1.133616</v>
      </c>
      <c r="Q91" t="n">
        <v>1.133616</v>
      </c>
      <c r="R91" t="n">
        <v>1.133616</v>
      </c>
      <c r="S91" t="n">
        <v>1.133616</v>
      </c>
      <c r="T91" t="n">
        <v>1.133616</v>
      </c>
      <c r="U91" t="n">
        <v>1.133616</v>
      </c>
      <c r="V91" t="n">
        <v>1.133616</v>
      </c>
      <c r="W91" t="n">
        <v>1.133616</v>
      </c>
      <c r="X91" t="n">
        <v>0.046478</v>
      </c>
      <c r="Y91" t="n">
        <v>0.046478</v>
      </c>
      <c r="Z91" t="n">
        <v>0.046478</v>
      </c>
      <c r="AA91" t="n">
        <v>0.046478</v>
      </c>
      <c r="AB91" t="n">
        <v>0.046478</v>
      </c>
      <c r="AC91" t="n">
        <v>0.046478</v>
      </c>
      <c r="AD91" t="n">
        <v>0.046478</v>
      </c>
      <c r="AE91" t="n">
        <v>0.046478</v>
      </c>
      <c r="AF91" t="n">
        <v>0.046478</v>
      </c>
      <c r="AG91" t="n">
        <v>0.046478</v>
      </c>
      <c r="AH91" t="n">
        <v>0.046478</v>
      </c>
      <c r="AI91" t="n">
        <v>0.046478</v>
      </c>
    </row>
    <row r="92">
      <c r="A92" t="n">
        <v>29</v>
      </c>
      <c r="B92" s="13" t="n">
        <v>45292</v>
      </c>
      <c r="C92" s="13" t="n">
        <v>45657</v>
      </c>
      <c r="D92" s="13" t="n">
        <v>45292</v>
      </c>
      <c r="E92" t="n">
        <v>0</v>
      </c>
      <c r="F92" s="13" t="n">
        <v>45657</v>
      </c>
      <c r="G92" t="n">
        <v>6.36912</v>
      </c>
      <c r="H92" t="n">
        <v>2.5476</v>
      </c>
      <c r="I92" t="n">
        <v>2.5476</v>
      </c>
      <c r="J92" t="n">
        <v>2.5476</v>
      </c>
      <c r="K92" t="n">
        <v>2.5476</v>
      </c>
      <c r="L92" t="n">
        <v>1.27392</v>
      </c>
      <c r="M92" t="n">
        <v>1.27392</v>
      </c>
      <c r="N92" t="n">
        <v>1.27392</v>
      </c>
      <c r="O92" t="n">
        <v>1.27392</v>
      </c>
      <c r="P92" t="n">
        <v>1.27392</v>
      </c>
      <c r="Q92" t="n">
        <v>1.27392</v>
      </c>
      <c r="R92" t="n">
        <v>1.27392</v>
      </c>
      <c r="S92" t="n">
        <v>1.27392</v>
      </c>
      <c r="T92" t="n">
        <v>1.27392</v>
      </c>
      <c r="U92" t="n">
        <v>1.27392</v>
      </c>
      <c r="V92" t="n">
        <v>1.27392</v>
      </c>
      <c r="W92" t="n">
        <v>1.27392</v>
      </c>
      <c r="X92" t="n">
        <v>0.05232</v>
      </c>
      <c r="Y92" t="n">
        <v>0.05232</v>
      </c>
      <c r="Z92" t="n">
        <v>0.05232</v>
      </c>
      <c r="AA92" t="n">
        <v>0.05232</v>
      </c>
      <c r="AB92" t="n">
        <v>0.05232</v>
      </c>
      <c r="AC92" t="n">
        <v>0.05232</v>
      </c>
      <c r="AD92" t="n">
        <v>0.05232</v>
      </c>
      <c r="AE92" t="n">
        <v>0.05232</v>
      </c>
      <c r="AF92" t="n">
        <v>0.05232</v>
      </c>
      <c r="AG92" t="n">
        <v>0.05232</v>
      </c>
      <c r="AH92" t="n">
        <v>0.05232</v>
      </c>
      <c r="AI92" t="n">
        <v>0.05232</v>
      </c>
    </row>
    <row r="93">
      <c r="A93" t="n">
        <v>29</v>
      </c>
      <c r="B93" s="13" t="n">
        <v>45658</v>
      </c>
      <c r="C93" s="13" t="n">
        <v>46022</v>
      </c>
      <c r="D93" s="13" t="n">
        <v>45658</v>
      </c>
      <c r="E93" t="n">
        <v>0</v>
      </c>
      <c r="F93" s="13" t="n">
        <v>46022</v>
      </c>
      <c r="G93" t="n">
        <v>8.76</v>
      </c>
      <c r="H93" t="n">
        <v>3.504</v>
      </c>
      <c r="I93" t="n">
        <v>3.504</v>
      </c>
      <c r="J93" t="n">
        <v>3.504</v>
      </c>
      <c r="K93" t="n">
        <v>3.504</v>
      </c>
      <c r="L93" t="n">
        <v>1.752</v>
      </c>
      <c r="M93" t="n">
        <v>1.752</v>
      </c>
      <c r="N93" t="n">
        <v>1.752</v>
      </c>
      <c r="O93" t="n">
        <v>1.752</v>
      </c>
      <c r="P93" t="n">
        <v>1.752</v>
      </c>
      <c r="Q93" t="n">
        <v>1.752</v>
      </c>
      <c r="R93" t="n">
        <v>1.752</v>
      </c>
      <c r="S93" t="n">
        <v>1.752</v>
      </c>
      <c r="T93" t="n">
        <v>1.752</v>
      </c>
      <c r="U93" t="n">
        <v>1.752</v>
      </c>
      <c r="V93" t="n">
        <v>1.752</v>
      </c>
      <c r="W93" t="n">
        <v>1.752</v>
      </c>
      <c r="X93" t="n">
        <v>0.07176</v>
      </c>
      <c r="Y93" t="n">
        <v>0.07176</v>
      </c>
      <c r="Z93" t="n">
        <v>0.07176</v>
      </c>
      <c r="AA93" t="n">
        <v>0.07176</v>
      </c>
      <c r="AB93" t="n">
        <v>0.07176</v>
      </c>
      <c r="AC93" t="n">
        <v>0.07176</v>
      </c>
      <c r="AD93" t="n">
        <v>0.07176</v>
      </c>
      <c r="AE93" t="n">
        <v>0.07176</v>
      </c>
      <c r="AF93" t="n">
        <v>0.07176</v>
      </c>
      <c r="AG93" t="n">
        <v>0.07176</v>
      </c>
      <c r="AH93" t="n">
        <v>0.07176</v>
      </c>
      <c r="AI93" t="n">
        <v>0.07176</v>
      </c>
    </row>
    <row r="94">
      <c r="A94" t="n">
        <v>29</v>
      </c>
      <c r="B94" s="13" t="n">
        <v>46023</v>
      </c>
      <c r="C94" s="13" t="n">
        <v>46142</v>
      </c>
      <c r="D94" s="13" t="n">
        <v>46023</v>
      </c>
      <c r="E94" t="n">
        <v>0</v>
      </c>
      <c r="F94" s="13" t="n">
        <v>46142</v>
      </c>
      <c r="G94" t="n">
        <v>8.98776</v>
      </c>
      <c r="H94" t="n">
        <v>3.5952</v>
      </c>
      <c r="I94" t="n">
        <v>3.5952</v>
      </c>
      <c r="J94" t="n">
        <v>3.5952</v>
      </c>
      <c r="K94" t="n">
        <v>3.5952</v>
      </c>
      <c r="L94" t="n">
        <v>1.7976</v>
      </c>
      <c r="M94" t="n">
        <v>1.7976</v>
      </c>
      <c r="N94" t="n">
        <v>1.7976</v>
      </c>
      <c r="O94" t="n">
        <v>1.7976</v>
      </c>
      <c r="P94" t="n">
        <v>1.7976</v>
      </c>
      <c r="Q94" t="n">
        <v>1.7976</v>
      </c>
      <c r="R94" t="n">
        <v>1.7976</v>
      </c>
      <c r="S94" t="n">
        <v>1.7976</v>
      </c>
      <c r="T94" t="n">
        <v>1.7976</v>
      </c>
      <c r="U94" t="n">
        <v>1.7976</v>
      </c>
      <c r="V94" t="n">
        <v>1.7976</v>
      </c>
      <c r="W94" t="n">
        <v>1.7976</v>
      </c>
      <c r="X94" t="n">
        <v>0.07368</v>
      </c>
      <c r="Y94" t="n">
        <v>0.07368</v>
      </c>
      <c r="Z94" t="n">
        <v>0.07368</v>
      </c>
      <c r="AA94" t="n">
        <v>0.07368</v>
      </c>
      <c r="AB94" t="n">
        <v>0.07368</v>
      </c>
      <c r="AC94" t="n">
        <v>0.07368</v>
      </c>
      <c r="AD94" t="n">
        <v>0.07368</v>
      </c>
      <c r="AE94" t="n">
        <v>0.07368</v>
      </c>
      <c r="AF94" t="n">
        <v>0.07368</v>
      </c>
      <c r="AG94" t="n">
        <v>0.07368</v>
      </c>
      <c r="AH94" t="n">
        <v>0.07368</v>
      </c>
      <c r="AI94" t="n">
        <v>0.07368</v>
      </c>
    </row>
    <row r="95">
      <c r="A95" t="n">
        <v>29</v>
      </c>
      <c r="B95" s="13" t="n">
        <v>46143</v>
      </c>
      <c r="C95" s="13" t="n">
        <v>2958465</v>
      </c>
      <c r="D95" s="13" t="n">
        <v>46143</v>
      </c>
      <c r="E95" t="n">
        <v>1</v>
      </c>
      <c r="G95" t="n">
        <v>9.635999999999999</v>
      </c>
      <c r="H95" t="n">
        <v>3.61344</v>
      </c>
      <c r="I95" t="n">
        <v>3.61344</v>
      </c>
      <c r="J95" t="n">
        <v>3.61344</v>
      </c>
      <c r="K95" t="n">
        <v>3.61344</v>
      </c>
      <c r="L95" t="n">
        <v>1.20456</v>
      </c>
      <c r="M95" t="n">
        <v>1.20456</v>
      </c>
      <c r="N95" t="n">
        <v>1.20456</v>
      </c>
      <c r="O95" t="n">
        <v>1.20456</v>
      </c>
      <c r="P95" t="n">
        <v>1.20456</v>
      </c>
      <c r="Q95" t="n">
        <v>1.20456</v>
      </c>
      <c r="R95" t="n">
        <v>1.20456</v>
      </c>
      <c r="S95" t="n">
        <v>1.20456</v>
      </c>
      <c r="T95" t="n">
        <v>1.20456</v>
      </c>
      <c r="U95" t="n">
        <v>1.20456</v>
      </c>
      <c r="V95" t="n">
        <v>1.20456</v>
      </c>
      <c r="W95" t="n">
        <v>1.20456</v>
      </c>
      <c r="X95" t="n">
        <v>0.07896</v>
      </c>
      <c r="Y95" t="n">
        <v>0.07896</v>
      </c>
      <c r="Z95" t="n">
        <v>0.07896</v>
      </c>
      <c r="AA95" t="n">
        <v>0.07896</v>
      </c>
      <c r="AB95" t="n">
        <v>0.07896</v>
      </c>
      <c r="AC95" t="n">
        <v>0.07896</v>
      </c>
      <c r="AD95" t="n">
        <v>0.07896</v>
      </c>
      <c r="AE95" t="n">
        <v>0.07896</v>
      </c>
      <c r="AF95" t="n">
        <v>0.07896</v>
      </c>
      <c r="AG95" t="n">
        <v>0.07896</v>
      </c>
      <c r="AH95" t="n">
        <v>0.07896</v>
      </c>
      <c r="AI95" t="n">
        <v>0.07896</v>
      </c>
    </row>
    <row r="96">
      <c r="A96" t="n">
        <v>30</v>
      </c>
      <c r="B96" s="13" t="n">
        <v>44927</v>
      </c>
      <c r="C96" s="13" t="n">
        <v>45291</v>
      </c>
      <c r="D96" s="13" t="n">
        <v>44927</v>
      </c>
      <c r="E96" t="n">
        <v>0</v>
      </c>
      <c r="F96" s="13" t="n">
        <v>45291</v>
      </c>
      <c r="G96" t="n">
        <v>4.11672</v>
      </c>
      <c r="H96" t="n">
        <v>1.54377</v>
      </c>
      <c r="I96" t="n">
        <v>1.54377</v>
      </c>
      <c r="J96" t="n">
        <v>1.54377</v>
      </c>
      <c r="K96" t="n">
        <v>1.54377</v>
      </c>
      <c r="L96" t="n">
        <v>0.51456</v>
      </c>
      <c r="M96" t="n">
        <v>0.51456</v>
      </c>
      <c r="N96" t="n">
        <v>0.51456</v>
      </c>
      <c r="O96" t="n">
        <v>0.51456</v>
      </c>
      <c r="P96" t="n">
        <v>0.51456</v>
      </c>
      <c r="Q96" t="n">
        <v>0.51456</v>
      </c>
      <c r="R96" t="n">
        <v>0.51456</v>
      </c>
      <c r="S96" t="n">
        <v>0.51456</v>
      </c>
      <c r="T96" t="n">
        <v>0.51456</v>
      </c>
      <c r="U96" t="n">
        <v>0.51456</v>
      </c>
      <c r="V96" t="n">
        <v>0.51456</v>
      </c>
      <c r="W96" t="n">
        <v>0.51456</v>
      </c>
      <c r="X96" t="n">
        <v>0.03375</v>
      </c>
      <c r="Y96" t="n">
        <v>0.03375</v>
      </c>
      <c r="Z96" t="n">
        <v>0.03375</v>
      </c>
      <c r="AA96" t="n">
        <v>0.03375</v>
      </c>
      <c r="AB96" t="n">
        <v>0.03375</v>
      </c>
      <c r="AC96" t="n">
        <v>0.03375</v>
      </c>
      <c r="AD96" t="n">
        <v>0.03375</v>
      </c>
      <c r="AE96" t="n">
        <v>0.03375</v>
      </c>
      <c r="AF96" t="n">
        <v>0.03375</v>
      </c>
      <c r="AG96" t="n">
        <v>0.03375</v>
      </c>
      <c r="AH96" t="n">
        <v>0.03375</v>
      </c>
      <c r="AI96" t="n">
        <v>0.03375</v>
      </c>
    </row>
    <row r="97">
      <c r="A97" t="n">
        <v>30</v>
      </c>
      <c r="B97" s="13" t="n">
        <v>45292</v>
      </c>
      <c r="C97" s="13" t="n">
        <v>45657</v>
      </c>
      <c r="D97" s="13" t="n">
        <v>45292</v>
      </c>
      <c r="E97" t="n">
        <v>0</v>
      </c>
      <c r="F97" s="13" t="n">
        <v>45657</v>
      </c>
      <c r="G97" t="n">
        <v>4.49544</v>
      </c>
      <c r="H97" t="n">
        <v>1.68579</v>
      </c>
      <c r="I97" t="n">
        <v>1.68579</v>
      </c>
      <c r="J97" t="n">
        <v>1.68579</v>
      </c>
      <c r="K97" t="n">
        <v>1.68579</v>
      </c>
      <c r="L97" t="n">
        <v>0.56184</v>
      </c>
      <c r="M97" t="n">
        <v>0.56184</v>
      </c>
      <c r="N97" t="n">
        <v>0.56184</v>
      </c>
      <c r="O97" t="n">
        <v>0.56184</v>
      </c>
      <c r="P97" t="n">
        <v>0.56184</v>
      </c>
      <c r="Q97" t="n">
        <v>0.56184</v>
      </c>
      <c r="R97" t="n">
        <v>0.56184</v>
      </c>
      <c r="S97" t="n">
        <v>0.56184</v>
      </c>
      <c r="T97" t="n">
        <v>0.56184</v>
      </c>
      <c r="U97" t="n">
        <v>0.56184</v>
      </c>
      <c r="V97" t="n">
        <v>0.56184</v>
      </c>
      <c r="W97" t="n">
        <v>0.56184</v>
      </c>
      <c r="X97" t="n">
        <v>0.03696</v>
      </c>
      <c r="Y97" t="n">
        <v>0.03696</v>
      </c>
      <c r="Z97" t="n">
        <v>0.03696</v>
      </c>
      <c r="AA97" t="n">
        <v>0.03696</v>
      </c>
      <c r="AB97" t="n">
        <v>0.03696</v>
      </c>
      <c r="AC97" t="n">
        <v>0.03696</v>
      </c>
      <c r="AD97" t="n">
        <v>0.03696</v>
      </c>
      <c r="AE97" t="n">
        <v>0.03696</v>
      </c>
      <c r="AF97" t="n">
        <v>0.03696</v>
      </c>
      <c r="AG97" t="n">
        <v>0.03696</v>
      </c>
      <c r="AH97" t="n">
        <v>0.03696</v>
      </c>
      <c r="AI97" t="n">
        <v>0.03696</v>
      </c>
    </row>
    <row r="98">
      <c r="A98" t="n">
        <v>30</v>
      </c>
      <c r="B98" s="13" t="n">
        <v>45658</v>
      </c>
      <c r="C98" s="13" t="n">
        <v>46022</v>
      </c>
      <c r="D98" s="13" t="n">
        <v>45658</v>
      </c>
      <c r="E98" t="n">
        <v>0</v>
      </c>
      <c r="F98" s="13" t="n">
        <v>46022</v>
      </c>
      <c r="G98" t="n">
        <v>8.76</v>
      </c>
      <c r="H98" t="n">
        <v>3.28512</v>
      </c>
      <c r="I98" t="n">
        <v>3.28512</v>
      </c>
      <c r="J98" t="n">
        <v>3.28512</v>
      </c>
      <c r="K98" t="n">
        <v>3.28512</v>
      </c>
      <c r="L98" t="n">
        <v>1.09512</v>
      </c>
      <c r="M98" t="n">
        <v>1.09512</v>
      </c>
      <c r="N98" t="n">
        <v>1.09512</v>
      </c>
      <c r="O98" t="n">
        <v>1.09512</v>
      </c>
      <c r="P98" t="n">
        <v>1.09512</v>
      </c>
      <c r="Q98" t="n">
        <v>1.09512</v>
      </c>
      <c r="R98" t="n">
        <v>1.09512</v>
      </c>
      <c r="S98" t="n">
        <v>1.09512</v>
      </c>
      <c r="T98" t="n">
        <v>1.09512</v>
      </c>
      <c r="U98" t="n">
        <v>1.09512</v>
      </c>
      <c r="V98" t="n">
        <v>1.09512</v>
      </c>
      <c r="W98" t="n">
        <v>1.09512</v>
      </c>
      <c r="X98" t="n">
        <v>0.07176</v>
      </c>
      <c r="Y98" t="n">
        <v>0.07176</v>
      </c>
      <c r="Z98" t="n">
        <v>0.07176</v>
      </c>
      <c r="AA98" t="n">
        <v>0.07176</v>
      </c>
      <c r="AB98" t="n">
        <v>0.07176</v>
      </c>
      <c r="AC98" t="n">
        <v>0.07176</v>
      </c>
      <c r="AD98" t="n">
        <v>0.07176</v>
      </c>
      <c r="AE98" t="n">
        <v>0.07176</v>
      </c>
      <c r="AF98" t="n">
        <v>0.07176</v>
      </c>
      <c r="AG98" t="n">
        <v>0.07176</v>
      </c>
      <c r="AH98" t="n">
        <v>0.07176</v>
      </c>
      <c r="AI98" t="n">
        <v>0.07176</v>
      </c>
    </row>
    <row r="99">
      <c r="A99" t="n">
        <v>30</v>
      </c>
      <c r="B99" s="13" t="n">
        <v>46023</v>
      </c>
      <c r="C99" s="13" t="n">
        <v>46142</v>
      </c>
      <c r="D99" s="13" t="n">
        <v>46023</v>
      </c>
      <c r="E99" t="n">
        <v>0</v>
      </c>
      <c r="F99" s="13" t="n">
        <v>46142</v>
      </c>
      <c r="G99" t="n">
        <v>8.76</v>
      </c>
      <c r="H99" t="n">
        <v>3.28512</v>
      </c>
      <c r="I99" t="n">
        <v>3.28512</v>
      </c>
      <c r="J99" t="n">
        <v>3.28512</v>
      </c>
      <c r="K99" t="n">
        <v>3.28512</v>
      </c>
      <c r="L99" t="n">
        <v>1.09512</v>
      </c>
      <c r="M99" t="n">
        <v>1.09512</v>
      </c>
      <c r="N99" t="n">
        <v>1.09512</v>
      </c>
      <c r="O99" t="n">
        <v>1.09512</v>
      </c>
      <c r="P99" t="n">
        <v>1.09512</v>
      </c>
      <c r="Q99" t="n">
        <v>1.09512</v>
      </c>
      <c r="R99" t="n">
        <v>1.09512</v>
      </c>
      <c r="S99" t="n">
        <v>1.09512</v>
      </c>
      <c r="T99" t="n">
        <v>1.09512</v>
      </c>
      <c r="U99" t="n">
        <v>1.09512</v>
      </c>
      <c r="V99" t="n">
        <v>1.09512</v>
      </c>
      <c r="W99" t="n">
        <v>1.09512</v>
      </c>
      <c r="X99" t="n">
        <v>0.07176</v>
      </c>
      <c r="Y99" t="n">
        <v>0.07176</v>
      </c>
      <c r="Z99" t="n">
        <v>0.07176</v>
      </c>
      <c r="AA99" t="n">
        <v>0.07176</v>
      </c>
      <c r="AB99" t="n">
        <v>0.07176</v>
      </c>
      <c r="AC99" t="n">
        <v>0.07176</v>
      </c>
      <c r="AD99" t="n">
        <v>0.07176</v>
      </c>
      <c r="AE99" t="n">
        <v>0.07176</v>
      </c>
      <c r="AF99" t="n">
        <v>0.07176</v>
      </c>
      <c r="AG99" t="n">
        <v>0.07176</v>
      </c>
      <c r="AH99" t="n">
        <v>0.07176</v>
      </c>
      <c r="AI99" t="n">
        <v>0.07176</v>
      </c>
    </row>
    <row r="100">
      <c r="A100" t="n">
        <v>30</v>
      </c>
      <c r="B100" s="13" t="n">
        <v>46143</v>
      </c>
      <c r="C100" s="13" t="n">
        <v>2958465</v>
      </c>
      <c r="D100" s="13" t="n">
        <v>46143</v>
      </c>
      <c r="E100" t="n">
        <v>1</v>
      </c>
      <c r="G100" t="n">
        <v>9.635999999999999</v>
      </c>
      <c r="H100" t="n">
        <v>3.61344</v>
      </c>
      <c r="I100" t="n">
        <v>3.61344</v>
      </c>
      <c r="J100" t="n">
        <v>3.61344</v>
      </c>
      <c r="K100" t="n">
        <v>3.61344</v>
      </c>
      <c r="L100" t="n">
        <v>1.20456</v>
      </c>
      <c r="M100" t="n">
        <v>1.20456</v>
      </c>
      <c r="N100" t="n">
        <v>1.20456</v>
      </c>
      <c r="O100" t="n">
        <v>1.20456</v>
      </c>
      <c r="P100" t="n">
        <v>1.20456</v>
      </c>
      <c r="Q100" t="n">
        <v>1.20456</v>
      </c>
      <c r="R100" t="n">
        <v>1.20456</v>
      </c>
      <c r="S100" t="n">
        <v>1.20456</v>
      </c>
      <c r="T100" t="n">
        <v>1.20456</v>
      </c>
      <c r="U100" t="n">
        <v>1.20456</v>
      </c>
      <c r="V100" t="n">
        <v>1.20456</v>
      </c>
      <c r="W100" t="n">
        <v>1.20456</v>
      </c>
      <c r="X100" t="n">
        <v>0.07896</v>
      </c>
      <c r="Y100" t="n">
        <v>0.07896</v>
      </c>
      <c r="Z100" t="n">
        <v>0.07896</v>
      </c>
      <c r="AA100" t="n">
        <v>0.07896</v>
      </c>
      <c r="AB100" t="n">
        <v>0.07896</v>
      </c>
      <c r="AC100" t="n">
        <v>0.07896</v>
      </c>
      <c r="AD100" t="n">
        <v>0.07896</v>
      </c>
      <c r="AE100" t="n">
        <v>0.07896</v>
      </c>
      <c r="AF100" t="n">
        <v>0.07896</v>
      </c>
      <c r="AG100" t="n">
        <v>0.07896</v>
      </c>
      <c r="AH100" t="n">
        <v>0.07896</v>
      </c>
      <c r="AI100" t="n">
        <v>0.07896</v>
      </c>
    </row>
    <row r="101">
      <c r="A101" t="n">
        <v>31</v>
      </c>
      <c r="B101" s="13" t="n">
        <v>44835</v>
      </c>
      <c r="C101" s="13" t="n">
        <v>45199</v>
      </c>
      <c r="D101" s="13" t="n">
        <v>44835</v>
      </c>
      <c r="E101" t="n">
        <v>0</v>
      </c>
      <c r="F101" s="13" t="n">
        <v>45199</v>
      </c>
      <c r="G101" t="n">
        <v>1232.09</v>
      </c>
      <c r="H101" t="n">
        <v>405.727237</v>
      </c>
      <c r="I101" t="n">
        <v>257.383601</v>
      </c>
      <c r="J101" t="n">
        <v>278.45234</v>
      </c>
      <c r="K101" t="n">
        <v>396.486562</v>
      </c>
      <c r="L101" t="n">
        <v>180.131558</v>
      </c>
      <c r="M101" t="n">
        <v>130.724749</v>
      </c>
      <c r="N101" t="n">
        <v>133.435347</v>
      </c>
      <c r="O101" t="n">
        <v>109.409592</v>
      </c>
      <c r="P101" t="n">
        <v>85.01421000000001</v>
      </c>
      <c r="Q101" t="n">
        <v>86.739136</v>
      </c>
      <c r="R101" t="n">
        <v>99.79929</v>
      </c>
      <c r="S101" t="n">
        <v>102.140261</v>
      </c>
      <c r="T101" t="n">
        <v>102.386679</v>
      </c>
      <c r="U101" t="n">
        <v>116.802132</v>
      </c>
      <c r="V101" t="n">
        <v>129.862286</v>
      </c>
      <c r="W101" t="n">
        <v>187.154471</v>
      </c>
      <c r="X101" t="n">
        <v>9.487093</v>
      </c>
      <c r="Y101" t="n">
        <v>7.638958</v>
      </c>
      <c r="Z101" t="n">
        <v>7.022913</v>
      </c>
      <c r="AA101" t="n">
        <v>5.914032</v>
      </c>
      <c r="AB101" t="n">
        <v>4.435524</v>
      </c>
      <c r="AC101" t="n">
        <v>4.681942</v>
      </c>
      <c r="AD101" t="n">
        <v>5.174778</v>
      </c>
      <c r="AE101" t="n">
        <v>5.297987</v>
      </c>
      <c r="AF101" t="n">
        <v>5.544405</v>
      </c>
      <c r="AG101" t="n">
        <v>6.16045</v>
      </c>
      <c r="AH101" t="n">
        <v>7.022913</v>
      </c>
      <c r="AI101" t="n">
        <v>9.856719999999999</v>
      </c>
    </row>
    <row r="102">
      <c r="A102" t="n">
        <v>31</v>
      </c>
      <c r="B102" s="13" t="n">
        <v>45200</v>
      </c>
      <c r="C102" s="13" t="n">
        <v>45565</v>
      </c>
      <c r="D102" s="13" t="n">
        <v>45200</v>
      </c>
      <c r="E102" t="n">
        <v>0</v>
      </c>
      <c r="F102" s="13" t="n">
        <v>45565</v>
      </c>
      <c r="G102" t="n">
        <v>1352.98</v>
      </c>
      <c r="H102" t="n">
        <v>467.860484</v>
      </c>
      <c r="I102" t="n">
        <v>279.660966</v>
      </c>
      <c r="J102" t="n">
        <v>296.167322</v>
      </c>
      <c r="K102" t="n">
        <v>429.029958</v>
      </c>
      <c r="L102" t="n">
        <v>206.870642</v>
      </c>
      <c r="M102" t="n">
        <v>151.939654</v>
      </c>
      <c r="N102" t="n">
        <v>153.698528</v>
      </c>
      <c r="O102" t="n">
        <v>120.685816</v>
      </c>
      <c r="P102" t="n">
        <v>93.35562</v>
      </c>
      <c r="Q102" t="n">
        <v>91.596746</v>
      </c>
      <c r="R102" t="n">
        <v>105.938334</v>
      </c>
      <c r="S102" t="n">
        <v>109.050188</v>
      </c>
      <c r="T102" t="n">
        <v>108.779592</v>
      </c>
      <c r="U102" t="n">
        <v>127.85661</v>
      </c>
      <c r="V102" t="n">
        <v>139.627536</v>
      </c>
      <c r="W102" t="n">
        <v>201.864616</v>
      </c>
      <c r="X102" t="n">
        <v>10.82384</v>
      </c>
      <c r="Y102" t="n">
        <v>8.523774</v>
      </c>
      <c r="Z102" t="n">
        <v>7.982582</v>
      </c>
      <c r="AA102" t="n">
        <v>6.494304</v>
      </c>
      <c r="AB102" t="n">
        <v>4.870728</v>
      </c>
      <c r="AC102" t="n">
        <v>5.006026</v>
      </c>
      <c r="AD102" t="n">
        <v>5.547218</v>
      </c>
      <c r="AE102" t="n">
        <v>5.682516</v>
      </c>
      <c r="AF102" t="n">
        <v>5.953112</v>
      </c>
      <c r="AG102" t="n">
        <v>6.7649</v>
      </c>
      <c r="AH102" t="n">
        <v>7.576688</v>
      </c>
      <c r="AI102" t="n">
        <v>10.553244</v>
      </c>
    </row>
    <row r="103">
      <c r="A103" t="n">
        <v>31</v>
      </c>
      <c r="B103" s="13" t="n">
        <v>45566</v>
      </c>
      <c r="C103" s="13" t="n">
        <v>45930</v>
      </c>
      <c r="D103" s="13" t="n">
        <v>45566</v>
      </c>
      <c r="E103" t="n">
        <v>0</v>
      </c>
      <c r="F103" s="13" t="n">
        <v>45930</v>
      </c>
      <c r="G103" t="n">
        <v>1332.49</v>
      </c>
      <c r="H103" t="n">
        <v>450.648118</v>
      </c>
      <c r="I103" t="n">
        <v>273.293699</v>
      </c>
      <c r="J103" t="n">
        <v>300.476495</v>
      </c>
      <c r="K103" t="n">
        <v>423.332073</v>
      </c>
      <c r="L103" t="n">
        <v>198.674259</v>
      </c>
      <c r="M103" t="n">
        <v>142.709679</v>
      </c>
      <c r="N103" t="n">
        <v>152.570105</v>
      </c>
      <c r="O103" t="n">
        <v>117.792116</v>
      </c>
      <c r="P103" t="n">
        <v>91.40881400000001</v>
      </c>
      <c r="Q103" t="n">
        <v>89.410079</v>
      </c>
      <c r="R103" t="n">
        <v>108.864433</v>
      </c>
      <c r="S103" t="n">
        <v>111.262915</v>
      </c>
      <c r="T103" t="n">
        <v>108.331437</v>
      </c>
      <c r="U103" t="n">
        <v>127.252795</v>
      </c>
      <c r="V103" t="n">
        <v>138.845458</v>
      </c>
      <c r="W103" t="n">
        <v>197.341769</v>
      </c>
      <c r="X103" t="n">
        <v>10.393422</v>
      </c>
      <c r="Y103" t="n">
        <v>8.261438</v>
      </c>
      <c r="Z103" t="n">
        <v>7.99494</v>
      </c>
      <c r="AA103" t="n">
        <v>6.395952</v>
      </c>
      <c r="AB103" t="n">
        <v>4.796964</v>
      </c>
      <c r="AC103" t="n">
        <v>4.796964</v>
      </c>
      <c r="AD103" t="n">
        <v>5.729707</v>
      </c>
      <c r="AE103" t="n">
        <v>5.862956</v>
      </c>
      <c r="AF103" t="n">
        <v>5.862956</v>
      </c>
      <c r="AG103" t="n">
        <v>6.66245</v>
      </c>
      <c r="AH103" t="n">
        <v>7.461944</v>
      </c>
      <c r="AI103" t="n">
        <v>10.393422</v>
      </c>
    </row>
    <row r="104">
      <c r="A104" t="n">
        <v>31</v>
      </c>
      <c r="B104" s="13" t="n">
        <v>45931</v>
      </c>
      <c r="C104" s="13" t="n">
        <v>46295</v>
      </c>
      <c r="D104" s="13" t="n">
        <v>45931</v>
      </c>
      <c r="E104" t="n">
        <v>0</v>
      </c>
      <c r="F104" s="13" t="n">
        <v>46295</v>
      </c>
      <c r="G104" t="n">
        <v>1273.73</v>
      </c>
      <c r="H104" t="n">
        <v>428.737518</v>
      </c>
      <c r="I104" t="n">
        <v>260.605158</v>
      </c>
      <c r="J104" t="n">
        <v>284.423909</v>
      </c>
      <c r="K104" t="n">
        <v>410.905298</v>
      </c>
      <c r="L104" t="n">
        <v>186.983564</v>
      </c>
      <c r="M104" t="n">
        <v>132.085801</v>
      </c>
      <c r="N104" t="n">
        <v>144.568355</v>
      </c>
      <c r="O104" t="n">
        <v>110.559764</v>
      </c>
      <c r="P104" t="n">
        <v>88.396862</v>
      </c>
      <c r="Q104" t="n">
        <v>84.957791</v>
      </c>
      <c r="R104" t="n">
        <v>104.318487</v>
      </c>
      <c r="S104" t="n">
        <v>105.210098</v>
      </c>
      <c r="T104" t="n">
        <v>104.063741</v>
      </c>
      <c r="U104" t="n">
        <v>124.698167</v>
      </c>
      <c r="V104" t="n">
        <v>138.072332</v>
      </c>
      <c r="W104" t="n">
        <v>190.550008</v>
      </c>
      <c r="X104" t="n">
        <v>9.807721000000001</v>
      </c>
      <c r="Y104" t="n">
        <v>7.64238</v>
      </c>
      <c r="Z104" t="n">
        <v>7.515007</v>
      </c>
      <c r="AA104" t="n">
        <v>5.986531</v>
      </c>
      <c r="AB104" t="n">
        <v>4.585428</v>
      </c>
      <c r="AC104" t="n">
        <v>4.585428</v>
      </c>
      <c r="AD104" t="n">
        <v>5.477039</v>
      </c>
      <c r="AE104" t="n">
        <v>5.477039</v>
      </c>
      <c r="AF104" t="n">
        <v>5.604412</v>
      </c>
      <c r="AG104" t="n">
        <v>6.496023</v>
      </c>
      <c r="AH104" t="n">
        <v>7.515007</v>
      </c>
      <c r="AI104" t="n">
        <v>9.935093999999999</v>
      </c>
    </row>
    <row r="105">
      <c r="A105" t="n">
        <v>31</v>
      </c>
      <c r="B105" s="13" t="n">
        <v>46296</v>
      </c>
      <c r="C105" s="13" t="n">
        <v>2958465</v>
      </c>
      <c r="D105" s="13" t="n">
        <v>46296</v>
      </c>
      <c r="E105" t="n">
        <v>1</v>
      </c>
      <c r="G105" t="n">
        <v>1149.06</v>
      </c>
      <c r="H105" t="n">
        <v>384.015852</v>
      </c>
      <c r="I105" t="n">
        <v>235.442394</v>
      </c>
      <c r="J105" t="n">
        <v>254.057166</v>
      </c>
      <c r="K105" t="n">
        <v>375.627714</v>
      </c>
      <c r="L105" t="n">
        <v>165.234828</v>
      </c>
      <c r="M105" t="n">
        <v>120.766206</v>
      </c>
      <c r="N105" t="n">
        <v>128.924532</v>
      </c>
      <c r="O105" t="n">
        <v>98.24463</v>
      </c>
      <c r="P105" t="n">
        <v>81.81307200000001</v>
      </c>
      <c r="Q105" t="n">
        <v>76.527396</v>
      </c>
      <c r="R105" t="n">
        <v>92.49933</v>
      </c>
      <c r="S105" t="n">
        <v>94.22292</v>
      </c>
      <c r="T105" t="n">
        <v>93.30367200000001</v>
      </c>
      <c r="U105" t="n">
        <v>113.642034</v>
      </c>
      <c r="V105" t="n">
        <v>126.741318</v>
      </c>
      <c r="W105" t="n">
        <v>173.967684</v>
      </c>
      <c r="X105" t="n">
        <v>8.61795</v>
      </c>
      <c r="Y105" t="n">
        <v>7.009266</v>
      </c>
      <c r="Z105" t="n">
        <v>6.779454</v>
      </c>
      <c r="AA105" t="n">
        <v>5.285676</v>
      </c>
      <c r="AB105" t="n">
        <v>4.251522</v>
      </c>
      <c r="AC105" t="n">
        <v>4.136616</v>
      </c>
      <c r="AD105" t="n">
        <v>4.826052</v>
      </c>
      <c r="AE105" t="n">
        <v>4.940958</v>
      </c>
      <c r="AF105" t="n">
        <v>5.055864</v>
      </c>
      <c r="AG105" t="n">
        <v>5.975112</v>
      </c>
      <c r="AH105" t="n">
        <v>6.89436</v>
      </c>
      <c r="AI105" t="n">
        <v>9.077574</v>
      </c>
    </row>
    <row r="106">
      <c r="A106" t="n">
        <v>32</v>
      </c>
      <c r="B106" s="13" t="n">
        <v>44470</v>
      </c>
      <c r="C106" s="13" t="n">
        <v>45930</v>
      </c>
      <c r="D106" s="13" t="n">
        <v>44470</v>
      </c>
      <c r="E106" t="n">
        <v>0</v>
      </c>
      <c r="F106" s="13" t="n">
        <v>45930</v>
      </c>
      <c r="G106" t="n">
        <v>908.9299999999999</v>
      </c>
      <c r="H106" t="n">
        <v>286.59</v>
      </c>
      <c r="I106" t="n">
        <v>184.97</v>
      </c>
      <c r="J106" t="n">
        <v>219.6</v>
      </c>
      <c r="K106" t="n">
        <v>294.86</v>
      </c>
      <c r="L106" t="n">
        <v>131.61</v>
      </c>
      <c r="M106" t="n">
        <v>90.62</v>
      </c>
      <c r="N106" t="n">
        <v>91.98</v>
      </c>
      <c r="O106" t="n">
        <v>76.62</v>
      </c>
      <c r="P106" t="n">
        <v>60.53</v>
      </c>
      <c r="Q106" t="n">
        <v>64.90000000000001</v>
      </c>
      <c r="R106" t="n">
        <v>77.90000000000001</v>
      </c>
      <c r="S106" t="n">
        <v>80.53</v>
      </c>
      <c r="T106" t="n">
        <v>81.53</v>
      </c>
      <c r="U106" t="n">
        <v>88.08</v>
      </c>
      <c r="V106" t="n">
        <v>96.8</v>
      </c>
      <c r="W106" t="n">
        <v>137.79</v>
      </c>
      <c r="X106" t="n">
        <v>6.91</v>
      </c>
      <c r="Y106" t="n">
        <v>5.27</v>
      </c>
      <c r="Z106" t="n">
        <v>4.82</v>
      </c>
      <c r="AA106" t="n">
        <v>4.18</v>
      </c>
      <c r="AB106" t="n">
        <v>3.18</v>
      </c>
      <c r="AC106" t="n">
        <v>3.54</v>
      </c>
      <c r="AD106" t="n">
        <v>4.09</v>
      </c>
      <c r="AE106" t="n">
        <v>4.18</v>
      </c>
      <c r="AF106" t="n">
        <v>4.45</v>
      </c>
      <c r="AG106" t="n">
        <v>4.64</v>
      </c>
      <c r="AH106" t="n">
        <v>5.27</v>
      </c>
      <c r="AI106" t="n">
        <v>7.18</v>
      </c>
    </row>
    <row r="107">
      <c r="A107" t="n">
        <v>32</v>
      </c>
      <c r="B107" s="13" t="n">
        <v>45931</v>
      </c>
      <c r="C107" s="13" t="n">
        <v>46295</v>
      </c>
      <c r="D107" s="13" t="n">
        <v>45931</v>
      </c>
      <c r="E107" t="n">
        <v>0</v>
      </c>
      <c r="F107" s="13" t="n">
        <v>46295</v>
      </c>
      <c r="G107" t="n">
        <v>1273.73</v>
      </c>
      <c r="H107" t="n">
        <v>428.737518</v>
      </c>
      <c r="I107" t="n">
        <v>260.605158</v>
      </c>
      <c r="J107" t="n">
        <v>284.423909</v>
      </c>
      <c r="K107" t="n">
        <v>410.905298</v>
      </c>
      <c r="L107" t="n">
        <v>186.983564</v>
      </c>
      <c r="M107" t="n">
        <v>132.085801</v>
      </c>
      <c r="N107" t="n">
        <v>144.568355</v>
      </c>
      <c r="O107" t="n">
        <v>110.559764</v>
      </c>
      <c r="P107" t="n">
        <v>88.396862</v>
      </c>
      <c r="Q107" t="n">
        <v>84.957791</v>
      </c>
      <c r="R107" t="n">
        <v>104.318487</v>
      </c>
      <c r="S107" t="n">
        <v>105.210098</v>
      </c>
      <c r="T107" t="n">
        <v>104.063741</v>
      </c>
      <c r="U107" t="n">
        <v>124.698167</v>
      </c>
      <c r="V107" t="n">
        <v>138.072332</v>
      </c>
      <c r="W107" t="n">
        <v>190.550008</v>
      </c>
      <c r="X107" t="n">
        <v>9.807721000000001</v>
      </c>
      <c r="Y107" t="n">
        <v>7.64238</v>
      </c>
      <c r="Z107" t="n">
        <v>7.515007</v>
      </c>
      <c r="AA107" t="n">
        <v>5.986531</v>
      </c>
      <c r="AB107" t="n">
        <v>4.585428</v>
      </c>
      <c r="AC107" t="n">
        <v>4.585428</v>
      </c>
      <c r="AD107" t="n">
        <v>5.477039</v>
      </c>
      <c r="AE107" t="n">
        <v>5.477039</v>
      </c>
      <c r="AF107" t="n">
        <v>5.604412</v>
      </c>
      <c r="AG107" t="n">
        <v>6.496023</v>
      </c>
      <c r="AH107" t="n">
        <v>7.515007</v>
      </c>
      <c r="AI107" t="n">
        <v>9.935093999999999</v>
      </c>
    </row>
    <row r="108">
      <c r="A108" t="n">
        <v>32</v>
      </c>
      <c r="B108" s="13" t="n">
        <v>46296</v>
      </c>
      <c r="C108" s="13" t="n">
        <v>2958465</v>
      </c>
      <c r="D108" s="13" t="n">
        <v>46296</v>
      </c>
      <c r="E108" t="n">
        <v>1</v>
      </c>
      <c r="G108" t="n">
        <v>1149.06</v>
      </c>
      <c r="H108" t="n">
        <v>384.015852</v>
      </c>
      <c r="I108" t="n">
        <v>235.442394</v>
      </c>
      <c r="J108" t="n">
        <v>254.057166</v>
      </c>
      <c r="K108" t="n">
        <v>375.627714</v>
      </c>
      <c r="L108" t="n">
        <v>165.234828</v>
      </c>
      <c r="M108" t="n">
        <v>120.766206</v>
      </c>
      <c r="N108" t="n">
        <v>128.924532</v>
      </c>
      <c r="O108" t="n">
        <v>98.24463</v>
      </c>
      <c r="P108" t="n">
        <v>81.81307200000001</v>
      </c>
      <c r="Q108" t="n">
        <v>76.527396</v>
      </c>
      <c r="R108" t="n">
        <v>92.49933</v>
      </c>
      <c r="S108" t="n">
        <v>94.22292</v>
      </c>
      <c r="T108" t="n">
        <v>93.30367200000001</v>
      </c>
      <c r="U108" t="n">
        <v>113.642034</v>
      </c>
      <c r="V108" t="n">
        <v>126.741318</v>
      </c>
      <c r="W108" t="n">
        <v>173.967684</v>
      </c>
      <c r="X108" t="n">
        <v>8.61795</v>
      </c>
      <c r="Y108" t="n">
        <v>7.009266</v>
      </c>
      <c r="Z108" t="n">
        <v>6.779454</v>
      </c>
      <c r="AA108" t="n">
        <v>5.285676</v>
      </c>
      <c r="AB108" t="n">
        <v>4.251522</v>
      </c>
      <c r="AC108" t="n">
        <v>4.136616</v>
      </c>
      <c r="AD108" t="n">
        <v>4.826052</v>
      </c>
      <c r="AE108" t="n">
        <v>4.940958</v>
      </c>
      <c r="AF108" t="n">
        <v>5.055864</v>
      </c>
      <c r="AG108" t="n">
        <v>5.975112</v>
      </c>
      <c r="AH108" t="n">
        <v>6.89436</v>
      </c>
      <c r="AI108" t="n">
        <v>9.077574</v>
      </c>
    </row>
    <row r="109">
      <c r="A109" t="n">
        <v>33</v>
      </c>
      <c r="B109" s="13" t="n">
        <v>44835</v>
      </c>
      <c r="C109" s="13" t="n">
        <v>45199</v>
      </c>
      <c r="D109" s="13" t="n">
        <v>44835</v>
      </c>
      <c r="E109" t="n">
        <v>0</v>
      </c>
      <c r="F109" s="13" t="n">
        <v>45199</v>
      </c>
      <c r="G109" t="n">
        <v>1232.09</v>
      </c>
      <c r="H109" t="n">
        <v>405.727237</v>
      </c>
      <c r="I109" t="n">
        <v>257.383601</v>
      </c>
      <c r="J109" t="n">
        <v>278.45234</v>
      </c>
      <c r="K109" t="n">
        <v>396.486562</v>
      </c>
      <c r="L109" t="n">
        <v>180.131558</v>
      </c>
      <c r="M109" t="n">
        <v>130.724749</v>
      </c>
      <c r="N109" t="n">
        <v>133.435347</v>
      </c>
      <c r="O109" t="n">
        <v>109.409592</v>
      </c>
      <c r="P109" t="n">
        <v>85.01421000000001</v>
      </c>
      <c r="Q109" t="n">
        <v>86.739136</v>
      </c>
      <c r="R109" t="n">
        <v>99.79929</v>
      </c>
      <c r="S109" t="n">
        <v>102.140261</v>
      </c>
      <c r="T109" t="n">
        <v>102.386679</v>
      </c>
      <c r="U109" t="n">
        <v>116.802132</v>
      </c>
      <c r="V109" t="n">
        <v>129.862286</v>
      </c>
      <c r="W109" t="n">
        <v>187.154471</v>
      </c>
      <c r="X109" t="n">
        <v>9.487093</v>
      </c>
      <c r="Y109" t="n">
        <v>7.638958</v>
      </c>
      <c r="Z109" t="n">
        <v>7.022913</v>
      </c>
      <c r="AA109" t="n">
        <v>5.914032</v>
      </c>
      <c r="AB109" t="n">
        <v>4.435524</v>
      </c>
      <c r="AC109" t="n">
        <v>4.681942</v>
      </c>
      <c r="AD109" t="n">
        <v>5.174778</v>
      </c>
      <c r="AE109" t="n">
        <v>5.297987</v>
      </c>
      <c r="AF109" t="n">
        <v>5.544405</v>
      </c>
      <c r="AG109" t="n">
        <v>6.16045</v>
      </c>
      <c r="AH109" t="n">
        <v>7.022913</v>
      </c>
      <c r="AI109" t="n">
        <v>9.856719999999999</v>
      </c>
    </row>
    <row r="110">
      <c r="A110" t="n">
        <v>33</v>
      </c>
      <c r="B110" s="13" t="n">
        <v>45200</v>
      </c>
      <c r="C110" s="13" t="n">
        <v>45565</v>
      </c>
      <c r="D110" s="13" t="n">
        <v>45200</v>
      </c>
      <c r="E110" t="n">
        <v>0</v>
      </c>
      <c r="F110" s="13" t="n">
        <v>45565</v>
      </c>
      <c r="G110" t="n">
        <v>1352.98</v>
      </c>
      <c r="H110" t="n">
        <v>467.860484</v>
      </c>
      <c r="I110" t="n">
        <v>279.660966</v>
      </c>
      <c r="J110" t="n">
        <v>296.167322</v>
      </c>
      <c r="K110" t="n">
        <v>429.029958</v>
      </c>
      <c r="L110" t="n">
        <v>206.870642</v>
      </c>
      <c r="M110" t="n">
        <v>151.939654</v>
      </c>
      <c r="N110" t="n">
        <v>153.698528</v>
      </c>
      <c r="O110" t="n">
        <v>120.685816</v>
      </c>
      <c r="P110" t="n">
        <v>93.35562</v>
      </c>
      <c r="Q110" t="n">
        <v>91.596746</v>
      </c>
      <c r="R110" t="n">
        <v>105.938334</v>
      </c>
      <c r="S110" t="n">
        <v>109.050188</v>
      </c>
      <c r="T110" t="n">
        <v>108.779592</v>
      </c>
      <c r="U110" t="n">
        <v>127.85661</v>
      </c>
      <c r="V110" t="n">
        <v>139.627536</v>
      </c>
      <c r="W110" t="n">
        <v>201.864616</v>
      </c>
      <c r="X110" t="n">
        <v>10.82384</v>
      </c>
      <c r="Y110" t="n">
        <v>8.523774</v>
      </c>
      <c r="Z110" t="n">
        <v>7.982582</v>
      </c>
      <c r="AA110" t="n">
        <v>6.494304</v>
      </c>
      <c r="AB110" t="n">
        <v>4.870728</v>
      </c>
      <c r="AC110" t="n">
        <v>5.006026</v>
      </c>
      <c r="AD110" t="n">
        <v>5.547218</v>
      </c>
      <c r="AE110" t="n">
        <v>5.682516</v>
      </c>
      <c r="AF110" t="n">
        <v>5.953112</v>
      </c>
      <c r="AG110" t="n">
        <v>6.7649</v>
      </c>
      <c r="AH110" t="n">
        <v>7.576688</v>
      </c>
      <c r="AI110" t="n">
        <v>10.553244</v>
      </c>
    </row>
    <row r="111">
      <c r="A111" t="n">
        <v>33</v>
      </c>
      <c r="B111" s="13" t="n">
        <v>45566</v>
      </c>
      <c r="C111" s="13" t="n">
        <v>45930</v>
      </c>
      <c r="D111" s="13" t="n">
        <v>45566</v>
      </c>
      <c r="E111" t="n">
        <v>0</v>
      </c>
      <c r="F111" s="13" t="n">
        <v>45930</v>
      </c>
      <c r="G111" t="n">
        <v>1332.49</v>
      </c>
      <c r="H111" t="n">
        <v>450.648118</v>
      </c>
      <c r="I111" t="n">
        <v>273.293699</v>
      </c>
      <c r="J111" t="n">
        <v>300.476495</v>
      </c>
      <c r="K111" t="n">
        <v>423.332073</v>
      </c>
      <c r="L111" t="n">
        <v>198.674259</v>
      </c>
      <c r="M111" t="n">
        <v>142.709679</v>
      </c>
      <c r="N111" t="n">
        <v>152.570105</v>
      </c>
      <c r="O111" t="n">
        <v>117.792116</v>
      </c>
      <c r="P111" t="n">
        <v>91.40881400000001</v>
      </c>
      <c r="Q111" t="n">
        <v>89.410079</v>
      </c>
      <c r="R111" t="n">
        <v>108.864433</v>
      </c>
      <c r="S111" t="n">
        <v>111.262915</v>
      </c>
      <c r="T111" t="n">
        <v>108.331437</v>
      </c>
      <c r="U111" t="n">
        <v>127.252795</v>
      </c>
      <c r="V111" t="n">
        <v>138.845458</v>
      </c>
      <c r="W111" t="n">
        <v>197.341769</v>
      </c>
      <c r="X111" t="n">
        <v>10.393422</v>
      </c>
      <c r="Y111" t="n">
        <v>8.261438</v>
      </c>
      <c r="Z111" t="n">
        <v>7.99494</v>
      </c>
      <c r="AA111" t="n">
        <v>6.395952</v>
      </c>
      <c r="AB111" t="n">
        <v>4.796964</v>
      </c>
      <c r="AC111" t="n">
        <v>4.796964</v>
      </c>
      <c r="AD111" t="n">
        <v>5.729707</v>
      </c>
      <c r="AE111" t="n">
        <v>5.862956</v>
      </c>
      <c r="AF111" t="n">
        <v>5.862956</v>
      </c>
      <c r="AG111" t="n">
        <v>6.66245</v>
      </c>
      <c r="AH111" t="n">
        <v>7.461944</v>
      </c>
      <c r="AI111" t="n">
        <v>10.393422</v>
      </c>
    </row>
    <row r="112">
      <c r="A112" t="n">
        <v>33</v>
      </c>
      <c r="B112" s="13" t="n">
        <v>45931</v>
      </c>
      <c r="C112" s="13" t="n">
        <v>46295</v>
      </c>
      <c r="D112" s="13" t="n">
        <v>45931</v>
      </c>
      <c r="E112" t="n">
        <v>0</v>
      </c>
      <c r="F112" s="13" t="n">
        <v>46295</v>
      </c>
      <c r="G112" t="n">
        <v>1273.73</v>
      </c>
      <c r="H112" t="n">
        <v>428.737518</v>
      </c>
      <c r="I112" t="n">
        <v>260.605158</v>
      </c>
      <c r="J112" t="n">
        <v>284.423909</v>
      </c>
      <c r="K112" t="n">
        <v>410.905298</v>
      </c>
      <c r="L112" t="n">
        <v>186.983564</v>
      </c>
      <c r="M112" t="n">
        <v>132.085801</v>
      </c>
      <c r="N112" t="n">
        <v>144.568355</v>
      </c>
      <c r="O112" t="n">
        <v>110.559764</v>
      </c>
      <c r="P112" t="n">
        <v>88.396862</v>
      </c>
      <c r="Q112" t="n">
        <v>84.957791</v>
      </c>
      <c r="R112" t="n">
        <v>104.318487</v>
      </c>
      <c r="S112" t="n">
        <v>105.210098</v>
      </c>
      <c r="T112" t="n">
        <v>104.063741</v>
      </c>
      <c r="U112" t="n">
        <v>124.698167</v>
      </c>
      <c r="V112" t="n">
        <v>138.072332</v>
      </c>
      <c r="W112" t="n">
        <v>190.550008</v>
      </c>
      <c r="X112" t="n">
        <v>9.807721000000001</v>
      </c>
      <c r="Y112" t="n">
        <v>7.64238</v>
      </c>
      <c r="Z112" t="n">
        <v>7.515007</v>
      </c>
      <c r="AA112" t="n">
        <v>5.986531</v>
      </c>
      <c r="AB112" t="n">
        <v>4.585428</v>
      </c>
      <c r="AC112" t="n">
        <v>4.585428</v>
      </c>
      <c r="AD112" t="n">
        <v>5.477039</v>
      </c>
      <c r="AE112" t="n">
        <v>5.477039</v>
      </c>
      <c r="AF112" t="n">
        <v>5.604412</v>
      </c>
      <c r="AG112" t="n">
        <v>6.496023</v>
      </c>
      <c r="AH112" t="n">
        <v>7.515007</v>
      </c>
      <c r="AI112" t="n">
        <v>9.935093999999999</v>
      </c>
    </row>
    <row r="113">
      <c r="A113" t="n">
        <v>33</v>
      </c>
      <c r="B113" s="13" t="n">
        <v>46296</v>
      </c>
      <c r="C113" s="13" t="n">
        <v>2958465</v>
      </c>
      <c r="D113" s="13" t="n">
        <v>46296</v>
      </c>
      <c r="E113" t="n">
        <v>1</v>
      </c>
      <c r="G113" t="n">
        <v>1149.06</v>
      </c>
      <c r="H113" t="n">
        <v>384.015852</v>
      </c>
      <c r="I113" t="n">
        <v>235.442394</v>
      </c>
      <c r="J113" t="n">
        <v>254.057166</v>
      </c>
      <c r="K113" t="n">
        <v>375.627714</v>
      </c>
      <c r="L113" t="n">
        <v>165.234828</v>
      </c>
      <c r="M113" t="n">
        <v>120.766206</v>
      </c>
      <c r="N113" t="n">
        <v>128.924532</v>
      </c>
      <c r="O113" t="n">
        <v>98.24463</v>
      </c>
      <c r="P113" t="n">
        <v>81.81307200000001</v>
      </c>
      <c r="Q113" t="n">
        <v>76.527396</v>
      </c>
      <c r="R113" t="n">
        <v>92.49933</v>
      </c>
      <c r="S113" t="n">
        <v>94.22292</v>
      </c>
      <c r="T113" t="n">
        <v>93.30367200000001</v>
      </c>
      <c r="U113" t="n">
        <v>113.642034</v>
      </c>
      <c r="V113" t="n">
        <v>126.741318</v>
      </c>
      <c r="W113" t="n">
        <v>173.967684</v>
      </c>
      <c r="X113" t="n">
        <v>8.61795</v>
      </c>
      <c r="Y113" t="n">
        <v>7.009266</v>
      </c>
      <c r="Z113" t="n">
        <v>6.779454</v>
      </c>
      <c r="AA113" t="n">
        <v>5.285676</v>
      </c>
      <c r="AB113" t="n">
        <v>4.251522</v>
      </c>
      <c r="AC113" t="n">
        <v>4.136616</v>
      </c>
      <c r="AD113" t="n">
        <v>4.826052</v>
      </c>
      <c r="AE113" t="n">
        <v>4.940958</v>
      </c>
      <c r="AF113" t="n">
        <v>5.055864</v>
      </c>
      <c r="AG113" t="n">
        <v>5.975112</v>
      </c>
      <c r="AH113" t="n">
        <v>6.89436</v>
      </c>
      <c r="AI113" t="n">
        <v>9.077574</v>
      </c>
    </row>
    <row r="114">
      <c r="A114" t="n">
        <v>34</v>
      </c>
      <c r="B114" s="13" t="n">
        <v>44835</v>
      </c>
      <c r="C114" s="13" t="n">
        <v>45199</v>
      </c>
      <c r="D114" s="13" t="n">
        <v>44835</v>
      </c>
      <c r="E114" t="n">
        <v>0</v>
      </c>
      <c r="F114" s="13" t="n">
        <v>45199</v>
      </c>
      <c r="G114" t="n">
        <v>1232.09</v>
      </c>
      <c r="H114" t="n">
        <v>405.727237</v>
      </c>
      <c r="I114" t="n">
        <v>257.383601</v>
      </c>
      <c r="J114" t="n">
        <v>278.45234</v>
      </c>
      <c r="K114" t="n">
        <v>396.486562</v>
      </c>
      <c r="L114" t="n">
        <v>180.131558</v>
      </c>
      <c r="M114" t="n">
        <v>130.724749</v>
      </c>
      <c r="N114" t="n">
        <v>133.435347</v>
      </c>
      <c r="O114" t="n">
        <v>109.409592</v>
      </c>
      <c r="P114" t="n">
        <v>85.01421000000001</v>
      </c>
      <c r="Q114" t="n">
        <v>86.739136</v>
      </c>
      <c r="R114" t="n">
        <v>99.79929</v>
      </c>
      <c r="S114" t="n">
        <v>102.140261</v>
      </c>
      <c r="T114" t="n">
        <v>102.386679</v>
      </c>
      <c r="U114" t="n">
        <v>116.802132</v>
      </c>
      <c r="V114" t="n">
        <v>129.862286</v>
      </c>
      <c r="W114" t="n">
        <v>187.154471</v>
      </c>
      <c r="X114" t="n">
        <v>9.487093</v>
      </c>
      <c r="Y114" t="n">
        <v>7.638958</v>
      </c>
      <c r="Z114" t="n">
        <v>7.022913</v>
      </c>
      <c r="AA114" t="n">
        <v>5.914032</v>
      </c>
      <c r="AB114" t="n">
        <v>4.435524</v>
      </c>
      <c r="AC114" t="n">
        <v>4.681942</v>
      </c>
      <c r="AD114" t="n">
        <v>5.174778</v>
      </c>
      <c r="AE114" t="n">
        <v>5.297987</v>
      </c>
      <c r="AF114" t="n">
        <v>5.544405</v>
      </c>
      <c r="AG114" t="n">
        <v>6.16045</v>
      </c>
      <c r="AH114" t="n">
        <v>7.022913</v>
      </c>
      <c r="AI114" t="n">
        <v>9.856719999999999</v>
      </c>
    </row>
    <row r="115">
      <c r="A115" t="n">
        <v>34</v>
      </c>
      <c r="B115" s="13" t="n">
        <v>45200</v>
      </c>
      <c r="C115" s="13" t="n">
        <v>45565</v>
      </c>
      <c r="D115" s="13" t="n">
        <v>45200</v>
      </c>
      <c r="E115" t="n">
        <v>0</v>
      </c>
      <c r="F115" s="13" t="n">
        <v>45565</v>
      </c>
      <c r="G115" t="n">
        <v>1352.98</v>
      </c>
      <c r="H115" t="n">
        <v>467.860484</v>
      </c>
      <c r="I115" t="n">
        <v>279.660966</v>
      </c>
      <c r="J115" t="n">
        <v>296.167322</v>
      </c>
      <c r="K115" t="n">
        <v>429.029958</v>
      </c>
      <c r="L115" t="n">
        <v>206.870642</v>
      </c>
      <c r="M115" t="n">
        <v>151.939654</v>
      </c>
      <c r="N115" t="n">
        <v>153.698528</v>
      </c>
      <c r="O115" t="n">
        <v>120.685816</v>
      </c>
      <c r="P115" t="n">
        <v>93.35562</v>
      </c>
      <c r="Q115" t="n">
        <v>91.596746</v>
      </c>
      <c r="R115" t="n">
        <v>105.938334</v>
      </c>
      <c r="S115" t="n">
        <v>109.050188</v>
      </c>
      <c r="T115" t="n">
        <v>108.779592</v>
      </c>
      <c r="U115" t="n">
        <v>127.85661</v>
      </c>
      <c r="V115" t="n">
        <v>139.627536</v>
      </c>
      <c r="W115" t="n">
        <v>201.864616</v>
      </c>
      <c r="X115" t="n">
        <v>10.82384</v>
      </c>
      <c r="Y115" t="n">
        <v>8.523774</v>
      </c>
      <c r="Z115" t="n">
        <v>7.982582</v>
      </c>
      <c r="AA115" t="n">
        <v>6.494304</v>
      </c>
      <c r="AB115" t="n">
        <v>4.870728</v>
      </c>
      <c r="AC115" t="n">
        <v>5.006026</v>
      </c>
      <c r="AD115" t="n">
        <v>5.547218</v>
      </c>
      <c r="AE115" t="n">
        <v>5.682516</v>
      </c>
      <c r="AF115" t="n">
        <v>5.953112</v>
      </c>
      <c r="AG115" t="n">
        <v>6.7649</v>
      </c>
      <c r="AH115" t="n">
        <v>7.576688</v>
      </c>
      <c r="AI115" t="n">
        <v>10.553244</v>
      </c>
    </row>
    <row r="116">
      <c r="A116" t="n">
        <v>34</v>
      </c>
      <c r="B116" s="13" t="n">
        <v>45566</v>
      </c>
      <c r="C116" s="13" t="n">
        <v>45930</v>
      </c>
      <c r="D116" s="13" t="n">
        <v>45566</v>
      </c>
      <c r="E116" t="n">
        <v>0</v>
      </c>
      <c r="F116" s="13" t="n">
        <v>45930</v>
      </c>
      <c r="G116" t="n">
        <v>1332.49</v>
      </c>
      <c r="H116" t="n">
        <v>450.648118</v>
      </c>
      <c r="I116" t="n">
        <v>273.293699</v>
      </c>
      <c r="J116" t="n">
        <v>300.476495</v>
      </c>
      <c r="K116" t="n">
        <v>423.332073</v>
      </c>
      <c r="L116" t="n">
        <v>198.674259</v>
      </c>
      <c r="M116" t="n">
        <v>142.709679</v>
      </c>
      <c r="N116" t="n">
        <v>152.570105</v>
      </c>
      <c r="O116" t="n">
        <v>117.792116</v>
      </c>
      <c r="P116" t="n">
        <v>91.40881400000001</v>
      </c>
      <c r="Q116" t="n">
        <v>89.410079</v>
      </c>
      <c r="R116" t="n">
        <v>108.864433</v>
      </c>
      <c r="S116" t="n">
        <v>111.262915</v>
      </c>
      <c r="T116" t="n">
        <v>108.331437</v>
      </c>
      <c r="U116" t="n">
        <v>127.252795</v>
      </c>
      <c r="V116" t="n">
        <v>138.845458</v>
      </c>
      <c r="W116" t="n">
        <v>197.341769</v>
      </c>
      <c r="X116" t="n">
        <v>10.393422</v>
      </c>
      <c r="Y116" t="n">
        <v>8.261438</v>
      </c>
      <c r="Z116" t="n">
        <v>7.99494</v>
      </c>
      <c r="AA116" t="n">
        <v>6.395952</v>
      </c>
      <c r="AB116" t="n">
        <v>4.796964</v>
      </c>
      <c r="AC116" t="n">
        <v>4.796964</v>
      </c>
      <c r="AD116" t="n">
        <v>5.729707</v>
      </c>
      <c r="AE116" t="n">
        <v>5.862956</v>
      </c>
      <c r="AF116" t="n">
        <v>5.862956</v>
      </c>
      <c r="AG116" t="n">
        <v>6.66245</v>
      </c>
      <c r="AH116" t="n">
        <v>7.461944</v>
      </c>
      <c r="AI116" t="n">
        <v>10.393422</v>
      </c>
    </row>
    <row r="117">
      <c r="A117" t="n">
        <v>34</v>
      </c>
      <c r="B117" s="13" t="n">
        <v>45931</v>
      </c>
      <c r="C117" s="13" t="n">
        <v>46295</v>
      </c>
      <c r="D117" s="13" t="n">
        <v>45931</v>
      </c>
      <c r="E117" t="n">
        <v>0</v>
      </c>
      <c r="F117" s="13" t="n">
        <v>46295</v>
      </c>
      <c r="G117" t="n">
        <v>1273.73</v>
      </c>
      <c r="H117" t="n">
        <v>428.737518</v>
      </c>
      <c r="I117" t="n">
        <v>260.605158</v>
      </c>
      <c r="J117" t="n">
        <v>284.423909</v>
      </c>
      <c r="K117" t="n">
        <v>410.905298</v>
      </c>
      <c r="L117" t="n">
        <v>186.983564</v>
      </c>
      <c r="M117" t="n">
        <v>132.085801</v>
      </c>
      <c r="N117" t="n">
        <v>144.568355</v>
      </c>
      <c r="O117" t="n">
        <v>110.559764</v>
      </c>
      <c r="P117" t="n">
        <v>88.396862</v>
      </c>
      <c r="Q117" t="n">
        <v>84.957791</v>
      </c>
      <c r="R117" t="n">
        <v>104.318487</v>
      </c>
      <c r="S117" t="n">
        <v>105.210098</v>
      </c>
      <c r="T117" t="n">
        <v>104.063741</v>
      </c>
      <c r="U117" t="n">
        <v>124.698167</v>
      </c>
      <c r="V117" t="n">
        <v>138.072332</v>
      </c>
      <c r="W117" t="n">
        <v>190.550008</v>
      </c>
      <c r="X117" t="n">
        <v>9.807721000000001</v>
      </c>
      <c r="Y117" t="n">
        <v>7.64238</v>
      </c>
      <c r="Z117" t="n">
        <v>7.515007</v>
      </c>
      <c r="AA117" t="n">
        <v>5.986531</v>
      </c>
      <c r="AB117" t="n">
        <v>4.585428</v>
      </c>
      <c r="AC117" t="n">
        <v>4.585428</v>
      </c>
      <c r="AD117" t="n">
        <v>5.477039</v>
      </c>
      <c r="AE117" t="n">
        <v>5.477039</v>
      </c>
      <c r="AF117" t="n">
        <v>5.604412</v>
      </c>
      <c r="AG117" t="n">
        <v>6.496023</v>
      </c>
      <c r="AH117" t="n">
        <v>7.515007</v>
      </c>
      <c r="AI117" t="n">
        <v>9.935093999999999</v>
      </c>
    </row>
    <row r="118">
      <c r="A118" t="n">
        <v>34</v>
      </c>
      <c r="B118" s="13" t="n">
        <v>46296</v>
      </c>
      <c r="C118" s="13" t="n">
        <v>2958465</v>
      </c>
      <c r="D118" s="13" t="n">
        <v>46296</v>
      </c>
      <c r="E118" t="n">
        <v>1</v>
      </c>
      <c r="G118" t="n">
        <v>1149.06</v>
      </c>
      <c r="H118" t="n">
        <v>384.015852</v>
      </c>
      <c r="I118" t="n">
        <v>235.442394</v>
      </c>
      <c r="J118" t="n">
        <v>254.057166</v>
      </c>
      <c r="K118" t="n">
        <v>375.627714</v>
      </c>
      <c r="L118" t="n">
        <v>165.234828</v>
      </c>
      <c r="M118" t="n">
        <v>120.766206</v>
      </c>
      <c r="N118" t="n">
        <v>128.924532</v>
      </c>
      <c r="O118" t="n">
        <v>98.24463</v>
      </c>
      <c r="P118" t="n">
        <v>81.81307200000001</v>
      </c>
      <c r="Q118" t="n">
        <v>76.527396</v>
      </c>
      <c r="R118" t="n">
        <v>92.49933</v>
      </c>
      <c r="S118" t="n">
        <v>94.22292</v>
      </c>
      <c r="T118" t="n">
        <v>93.30367200000001</v>
      </c>
      <c r="U118" t="n">
        <v>113.642034</v>
      </c>
      <c r="V118" t="n">
        <v>126.741318</v>
      </c>
      <c r="W118" t="n">
        <v>173.967684</v>
      </c>
      <c r="X118" t="n">
        <v>8.61795</v>
      </c>
      <c r="Y118" t="n">
        <v>7.009266</v>
      </c>
      <c r="Z118" t="n">
        <v>6.779454</v>
      </c>
      <c r="AA118" t="n">
        <v>5.285676</v>
      </c>
      <c r="AB118" t="n">
        <v>4.251522</v>
      </c>
      <c r="AC118" t="n">
        <v>4.136616</v>
      </c>
      <c r="AD118" t="n">
        <v>4.826052</v>
      </c>
      <c r="AE118" t="n">
        <v>4.940958</v>
      </c>
      <c r="AF118" t="n">
        <v>5.055864</v>
      </c>
      <c r="AG118" t="n">
        <v>5.975112</v>
      </c>
      <c r="AH118" t="n">
        <v>6.89436</v>
      </c>
      <c r="AI118" t="n">
        <v>9.077574</v>
      </c>
    </row>
    <row r="119">
      <c r="A119" t="n">
        <v>35</v>
      </c>
      <c r="B119" s="13" t="n">
        <v>44835</v>
      </c>
      <c r="C119" s="13" t="n">
        <v>45199</v>
      </c>
      <c r="D119" s="13" t="n">
        <v>44835</v>
      </c>
      <c r="E119" t="n">
        <v>0</v>
      </c>
      <c r="F119" s="13" t="n">
        <v>45199</v>
      </c>
      <c r="G119" t="n">
        <v>1232.09</v>
      </c>
      <c r="H119" t="n">
        <v>405.727237</v>
      </c>
      <c r="I119" t="n">
        <v>257.383601</v>
      </c>
      <c r="J119" t="n">
        <v>278.45234</v>
      </c>
      <c r="K119" t="n">
        <v>396.486562</v>
      </c>
      <c r="L119" t="n">
        <v>180.131558</v>
      </c>
      <c r="M119" t="n">
        <v>130.724749</v>
      </c>
      <c r="N119" t="n">
        <v>133.435347</v>
      </c>
      <c r="O119" t="n">
        <v>109.409592</v>
      </c>
      <c r="P119" t="n">
        <v>85.01421000000001</v>
      </c>
      <c r="Q119" t="n">
        <v>86.739136</v>
      </c>
      <c r="R119" t="n">
        <v>99.79929</v>
      </c>
      <c r="S119" t="n">
        <v>102.140261</v>
      </c>
      <c r="T119" t="n">
        <v>102.386679</v>
      </c>
      <c r="U119" t="n">
        <v>116.802132</v>
      </c>
      <c r="V119" t="n">
        <v>129.862286</v>
      </c>
      <c r="W119" t="n">
        <v>187.154471</v>
      </c>
      <c r="X119" t="n">
        <v>9.487093</v>
      </c>
      <c r="Y119" t="n">
        <v>7.638958</v>
      </c>
      <c r="Z119" t="n">
        <v>7.022913</v>
      </c>
      <c r="AA119" t="n">
        <v>5.914032</v>
      </c>
      <c r="AB119" t="n">
        <v>4.435524</v>
      </c>
      <c r="AC119" t="n">
        <v>4.681942</v>
      </c>
      <c r="AD119" t="n">
        <v>5.174778</v>
      </c>
      <c r="AE119" t="n">
        <v>5.297987</v>
      </c>
      <c r="AF119" t="n">
        <v>5.544405</v>
      </c>
      <c r="AG119" t="n">
        <v>6.16045</v>
      </c>
      <c r="AH119" t="n">
        <v>7.022913</v>
      </c>
      <c r="AI119" t="n">
        <v>9.856719999999999</v>
      </c>
    </row>
    <row r="120">
      <c r="A120" t="n">
        <v>35</v>
      </c>
      <c r="B120" s="13" t="n">
        <v>45200</v>
      </c>
      <c r="C120" s="13" t="n">
        <v>45565</v>
      </c>
      <c r="D120" s="13" t="n">
        <v>45200</v>
      </c>
      <c r="E120" t="n">
        <v>0</v>
      </c>
      <c r="F120" s="13" t="n">
        <v>45565</v>
      </c>
      <c r="G120" t="n">
        <v>1352.98</v>
      </c>
      <c r="H120" t="n">
        <v>467.860484</v>
      </c>
      <c r="I120" t="n">
        <v>279.660966</v>
      </c>
      <c r="J120" t="n">
        <v>296.167322</v>
      </c>
      <c r="K120" t="n">
        <v>429.029958</v>
      </c>
      <c r="L120" t="n">
        <v>206.870642</v>
      </c>
      <c r="M120" t="n">
        <v>151.939654</v>
      </c>
      <c r="N120" t="n">
        <v>153.698528</v>
      </c>
      <c r="O120" t="n">
        <v>120.685816</v>
      </c>
      <c r="P120" t="n">
        <v>93.35562</v>
      </c>
      <c r="Q120" t="n">
        <v>91.596746</v>
      </c>
      <c r="R120" t="n">
        <v>105.938334</v>
      </c>
      <c r="S120" t="n">
        <v>109.050188</v>
      </c>
      <c r="T120" t="n">
        <v>108.779592</v>
      </c>
      <c r="U120" t="n">
        <v>127.85661</v>
      </c>
      <c r="V120" t="n">
        <v>139.627536</v>
      </c>
      <c r="W120" t="n">
        <v>201.864616</v>
      </c>
      <c r="X120" t="n">
        <v>10.82384</v>
      </c>
      <c r="Y120" t="n">
        <v>8.523774</v>
      </c>
      <c r="Z120" t="n">
        <v>7.982582</v>
      </c>
      <c r="AA120" t="n">
        <v>6.494304</v>
      </c>
      <c r="AB120" t="n">
        <v>4.870728</v>
      </c>
      <c r="AC120" t="n">
        <v>5.006026</v>
      </c>
      <c r="AD120" t="n">
        <v>5.547218</v>
      </c>
      <c r="AE120" t="n">
        <v>5.682516</v>
      </c>
      <c r="AF120" t="n">
        <v>5.953112</v>
      </c>
      <c r="AG120" t="n">
        <v>6.7649</v>
      </c>
      <c r="AH120" t="n">
        <v>7.576688</v>
      </c>
      <c r="AI120" t="n">
        <v>10.553244</v>
      </c>
    </row>
    <row r="121">
      <c r="A121" t="n">
        <v>35</v>
      </c>
      <c r="B121" s="13" t="n">
        <v>45566</v>
      </c>
      <c r="C121" s="13" t="n">
        <v>45930</v>
      </c>
      <c r="D121" s="13" t="n">
        <v>45566</v>
      </c>
      <c r="E121" t="n">
        <v>0</v>
      </c>
      <c r="F121" s="13" t="n">
        <v>45930</v>
      </c>
      <c r="G121" t="n">
        <v>1332.49</v>
      </c>
      <c r="H121" t="n">
        <v>450.648118</v>
      </c>
      <c r="I121" t="n">
        <v>273.293699</v>
      </c>
      <c r="J121" t="n">
        <v>300.476495</v>
      </c>
      <c r="K121" t="n">
        <v>423.332073</v>
      </c>
      <c r="L121" t="n">
        <v>198.674259</v>
      </c>
      <c r="M121" t="n">
        <v>142.709679</v>
      </c>
      <c r="N121" t="n">
        <v>152.570105</v>
      </c>
      <c r="O121" t="n">
        <v>117.792116</v>
      </c>
      <c r="P121" t="n">
        <v>91.40881400000001</v>
      </c>
      <c r="Q121" t="n">
        <v>89.410079</v>
      </c>
      <c r="R121" t="n">
        <v>108.864433</v>
      </c>
      <c r="S121" t="n">
        <v>111.262915</v>
      </c>
      <c r="T121" t="n">
        <v>108.331437</v>
      </c>
      <c r="U121" t="n">
        <v>127.252795</v>
      </c>
      <c r="V121" t="n">
        <v>138.845458</v>
      </c>
      <c r="W121" t="n">
        <v>197.341769</v>
      </c>
      <c r="X121" t="n">
        <v>10.393422</v>
      </c>
      <c r="Y121" t="n">
        <v>8.261438</v>
      </c>
      <c r="Z121" t="n">
        <v>7.99494</v>
      </c>
      <c r="AA121" t="n">
        <v>6.395952</v>
      </c>
      <c r="AB121" t="n">
        <v>4.796964</v>
      </c>
      <c r="AC121" t="n">
        <v>4.796964</v>
      </c>
      <c r="AD121" t="n">
        <v>5.729707</v>
      </c>
      <c r="AE121" t="n">
        <v>5.862956</v>
      </c>
      <c r="AF121" t="n">
        <v>5.862956</v>
      </c>
      <c r="AG121" t="n">
        <v>6.66245</v>
      </c>
      <c r="AH121" t="n">
        <v>7.461944</v>
      </c>
      <c r="AI121" t="n">
        <v>10.393422</v>
      </c>
    </row>
    <row r="122">
      <c r="A122" t="n">
        <v>35</v>
      </c>
      <c r="B122" s="13" t="n">
        <v>45931</v>
      </c>
      <c r="C122" s="13" t="n">
        <v>46295</v>
      </c>
      <c r="D122" s="13" t="n">
        <v>45931</v>
      </c>
      <c r="E122" t="n">
        <v>0</v>
      </c>
      <c r="F122" s="13" t="n">
        <v>46295</v>
      </c>
      <c r="G122" t="n">
        <v>1273.73</v>
      </c>
      <c r="H122" t="n">
        <v>428.737518</v>
      </c>
      <c r="I122" t="n">
        <v>260.605158</v>
      </c>
      <c r="J122" t="n">
        <v>284.423909</v>
      </c>
      <c r="K122" t="n">
        <v>410.905298</v>
      </c>
      <c r="L122" t="n">
        <v>186.983564</v>
      </c>
      <c r="M122" t="n">
        <v>132.085801</v>
      </c>
      <c r="N122" t="n">
        <v>144.568355</v>
      </c>
      <c r="O122" t="n">
        <v>110.559764</v>
      </c>
      <c r="P122" t="n">
        <v>88.396862</v>
      </c>
      <c r="Q122" t="n">
        <v>84.957791</v>
      </c>
      <c r="R122" t="n">
        <v>104.318487</v>
      </c>
      <c r="S122" t="n">
        <v>105.210098</v>
      </c>
      <c r="T122" t="n">
        <v>104.063741</v>
      </c>
      <c r="U122" t="n">
        <v>124.698167</v>
      </c>
      <c r="V122" t="n">
        <v>138.072332</v>
      </c>
      <c r="W122" t="n">
        <v>190.550008</v>
      </c>
      <c r="X122" t="n">
        <v>9.807721000000001</v>
      </c>
      <c r="Y122" t="n">
        <v>7.64238</v>
      </c>
      <c r="Z122" t="n">
        <v>7.515007</v>
      </c>
      <c r="AA122" t="n">
        <v>5.986531</v>
      </c>
      <c r="AB122" t="n">
        <v>4.585428</v>
      </c>
      <c r="AC122" t="n">
        <v>4.585428</v>
      </c>
      <c r="AD122" t="n">
        <v>5.477039</v>
      </c>
      <c r="AE122" t="n">
        <v>5.477039</v>
      </c>
      <c r="AF122" t="n">
        <v>5.604412</v>
      </c>
      <c r="AG122" t="n">
        <v>6.496023</v>
      </c>
      <c r="AH122" t="n">
        <v>7.515007</v>
      </c>
      <c r="AI122" t="n">
        <v>9.935093999999999</v>
      </c>
    </row>
    <row r="123">
      <c r="A123" t="n">
        <v>35</v>
      </c>
      <c r="B123" s="13" t="n">
        <v>46296</v>
      </c>
      <c r="C123" s="13" t="n">
        <v>2958465</v>
      </c>
      <c r="D123" s="13" t="n">
        <v>46296</v>
      </c>
      <c r="E123" t="n">
        <v>1</v>
      </c>
      <c r="G123" t="n">
        <v>1149.06</v>
      </c>
      <c r="H123" t="n">
        <v>384.015852</v>
      </c>
      <c r="I123" t="n">
        <v>235.442394</v>
      </c>
      <c r="J123" t="n">
        <v>254.057166</v>
      </c>
      <c r="K123" t="n">
        <v>375.627714</v>
      </c>
      <c r="L123" t="n">
        <v>165.234828</v>
      </c>
      <c r="M123" t="n">
        <v>120.766206</v>
      </c>
      <c r="N123" t="n">
        <v>128.924532</v>
      </c>
      <c r="O123" t="n">
        <v>98.24463</v>
      </c>
      <c r="P123" t="n">
        <v>81.81307200000001</v>
      </c>
      <c r="Q123" t="n">
        <v>76.527396</v>
      </c>
      <c r="R123" t="n">
        <v>92.49933</v>
      </c>
      <c r="S123" t="n">
        <v>94.22292</v>
      </c>
      <c r="T123" t="n">
        <v>93.30367200000001</v>
      </c>
      <c r="U123" t="n">
        <v>113.642034</v>
      </c>
      <c r="V123" t="n">
        <v>126.741318</v>
      </c>
      <c r="W123" t="n">
        <v>173.967684</v>
      </c>
      <c r="X123" t="n">
        <v>8.61795</v>
      </c>
      <c r="Y123" t="n">
        <v>7.009266</v>
      </c>
      <c r="Z123" t="n">
        <v>6.779454</v>
      </c>
      <c r="AA123" t="n">
        <v>5.285676</v>
      </c>
      <c r="AB123" t="n">
        <v>4.251522</v>
      </c>
      <c r="AC123" t="n">
        <v>4.136616</v>
      </c>
      <c r="AD123" t="n">
        <v>4.826052</v>
      </c>
      <c r="AE123" t="n">
        <v>4.940958</v>
      </c>
      <c r="AF123" t="n">
        <v>5.055864</v>
      </c>
      <c r="AG123" t="n">
        <v>5.975112</v>
      </c>
      <c r="AH123" t="n">
        <v>6.89436</v>
      </c>
      <c r="AI123" t="n">
        <v>9.077574</v>
      </c>
    </row>
    <row r="124">
      <c r="A124" t="n">
        <v>36</v>
      </c>
      <c r="B124" s="13" t="n">
        <v>44835</v>
      </c>
      <c r="C124" s="13" t="n">
        <v>45199</v>
      </c>
      <c r="D124" s="13" t="n">
        <v>44835</v>
      </c>
      <c r="E124" t="n">
        <v>0</v>
      </c>
      <c r="F124" s="13" t="n">
        <v>45199</v>
      </c>
      <c r="G124" t="n">
        <v>1232.09</v>
      </c>
      <c r="H124" t="n">
        <v>405.727237</v>
      </c>
      <c r="I124" t="n">
        <v>257.383601</v>
      </c>
      <c r="J124" t="n">
        <v>278.45234</v>
      </c>
      <c r="K124" t="n">
        <v>396.486562</v>
      </c>
      <c r="L124" t="n">
        <v>180.131558</v>
      </c>
      <c r="M124" t="n">
        <v>130.724749</v>
      </c>
      <c r="N124" t="n">
        <v>133.435347</v>
      </c>
      <c r="O124" t="n">
        <v>109.409592</v>
      </c>
      <c r="P124" t="n">
        <v>85.01421000000001</v>
      </c>
      <c r="Q124" t="n">
        <v>86.739136</v>
      </c>
      <c r="R124" t="n">
        <v>99.79929</v>
      </c>
      <c r="S124" t="n">
        <v>102.140261</v>
      </c>
      <c r="T124" t="n">
        <v>102.386679</v>
      </c>
      <c r="U124" t="n">
        <v>116.802132</v>
      </c>
      <c r="V124" t="n">
        <v>129.862286</v>
      </c>
      <c r="W124" t="n">
        <v>187.154471</v>
      </c>
      <c r="X124" t="n">
        <v>9.487093</v>
      </c>
      <c r="Y124" t="n">
        <v>7.638958</v>
      </c>
      <c r="Z124" t="n">
        <v>7.022913</v>
      </c>
      <c r="AA124" t="n">
        <v>5.914032</v>
      </c>
      <c r="AB124" t="n">
        <v>4.435524</v>
      </c>
      <c r="AC124" t="n">
        <v>4.681942</v>
      </c>
      <c r="AD124" t="n">
        <v>5.174778</v>
      </c>
      <c r="AE124" t="n">
        <v>5.297987</v>
      </c>
      <c r="AF124" t="n">
        <v>5.544405</v>
      </c>
      <c r="AG124" t="n">
        <v>6.16045</v>
      </c>
      <c r="AH124" t="n">
        <v>7.022913</v>
      </c>
      <c r="AI124" t="n">
        <v>9.856719999999999</v>
      </c>
    </row>
    <row r="125">
      <c r="A125" t="n">
        <v>36</v>
      </c>
      <c r="B125" s="13" t="n">
        <v>45200</v>
      </c>
      <c r="C125" s="13" t="n">
        <v>45565</v>
      </c>
      <c r="D125" s="13" t="n">
        <v>45200</v>
      </c>
      <c r="E125" t="n">
        <v>0</v>
      </c>
      <c r="F125" s="13" t="n">
        <v>45565</v>
      </c>
      <c r="G125" t="n">
        <v>1352.98</v>
      </c>
      <c r="H125" t="n">
        <v>467.860484</v>
      </c>
      <c r="I125" t="n">
        <v>279.660966</v>
      </c>
      <c r="J125" t="n">
        <v>296.167322</v>
      </c>
      <c r="K125" t="n">
        <v>429.029958</v>
      </c>
      <c r="L125" t="n">
        <v>206.870642</v>
      </c>
      <c r="M125" t="n">
        <v>151.939654</v>
      </c>
      <c r="N125" t="n">
        <v>153.698528</v>
      </c>
      <c r="O125" t="n">
        <v>120.685816</v>
      </c>
      <c r="P125" t="n">
        <v>93.35562</v>
      </c>
      <c r="Q125" t="n">
        <v>91.596746</v>
      </c>
      <c r="R125" t="n">
        <v>105.938334</v>
      </c>
      <c r="S125" t="n">
        <v>109.050188</v>
      </c>
      <c r="T125" t="n">
        <v>108.779592</v>
      </c>
      <c r="U125" t="n">
        <v>127.85661</v>
      </c>
      <c r="V125" t="n">
        <v>139.627536</v>
      </c>
      <c r="W125" t="n">
        <v>201.864616</v>
      </c>
      <c r="X125" t="n">
        <v>10.82384</v>
      </c>
      <c r="Y125" t="n">
        <v>8.523774</v>
      </c>
      <c r="Z125" t="n">
        <v>7.982582</v>
      </c>
      <c r="AA125" t="n">
        <v>6.494304</v>
      </c>
      <c r="AB125" t="n">
        <v>4.870728</v>
      </c>
      <c r="AC125" t="n">
        <v>5.006026</v>
      </c>
      <c r="AD125" t="n">
        <v>5.547218</v>
      </c>
      <c r="AE125" t="n">
        <v>5.682516</v>
      </c>
      <c r="AF125" t="n">
        <v>5.953112</v>
      </c>
      <c r="AG125" t="n">
        <v>6.7649</v>
      </c>
      <c r="AH125" t="n">
        <v>7.576688</v>
      </c>
      <c r="AI125" t="n">
        <v>10.553244</v>
      </c>
    </row>
    <row r="126">
      <c r="A126" t="n">
        <v>36</v>
      </c>
      <c r="B126" s="13" t="n">
        <v>45566</v>
      </c>
      <c r="C126" s="13" t="n">
        <v>45930</v>
      </c>
      <c r="D126" s="13" t="n">
        <v>45566</v>
      </c>
      <c r="E126" t="n">
        <v>0</v>
      </c>
      <c r="F126" s="13" t="n">
        <v>45930</v>
      </c>
      <c r="G126" t="n">
        <v>1332.49</v>
      </c>
      <c r="H126" t="n">
        <v>450.648118</v>
      </c>
      <c r="I126" t="n">
        <v>273.293699</v>
      </c>
      <c r="J126" t="n">
        <v>300.476495</v>
      </c>
      <c r="K126" t="n">
        <v>423.332073</v>
      </c>
      <c r="L126" t="n">
        <v>198.674259</v>
      </c>
      <c r="M126" t="n">
        <v>142.709679</v>
      </c>
      <c r="N126" t="n">
        <v>152.570105</v>
      </c>
      <c r="O126" t="n">
        <v>117.792116</v>
      </c>
      <c r="P126" t="n">
        <v>91.40881400000001</v>
      </c>
      <c r="Q126" t="n">
        <v>89.410079</v>
      </c>
      <c r="R126" t="n">
        <v>108.864433</v>
      </c>
      <c r="S126" t="n">
        <v>111.262915</v>
      </c>
      <c r="T126" t="n">
        <v>108.331437</v>
      </c>
      <c r="U126" t="n">
        <v>127.252795</v>
      </c>
      <c r="V126" t="n">
        <v>138.845458</v>
      </c>
      <c r="W126" t="n">
        <v>197.341769</v>
      </c>
      <c r="X126" t="n">
        <v>10.393422</v>
      </c>
      <c r="Y126" t="n">
        <v>8.261438</v>
      </c>
      <c r="Z126" t="n">
        <v>7.99494</v>
      </c>
      <c r="AA126" t="n">
        <v>6.395952</v>
      </c>
      <c r="AB126" t="n">
        <v>4.796964</v>
      </c>
      <c r="AC126" t="n">
        <v>4.796964</v>
      </c>
      <c r="AD126" t="n">
        <v>5.729707</v>
      </c>
      <c r="AE126" t="n">
        <v>5.862956</v>
      </c>
      <c r="AF126" t="n">
        <v>5.862956</v>
      </c>
      <c r="AG126" t="n">
        <v>6.66245</v>
      </c>
      <c r="AH126" t="n">
        <v>7.461944</v>
      </c>
      <c r="AI126" t="n">
        <v>10.393422</v>
      </c>
    </row>
    <row r="127">
      <c r="A127" t="n">
        <v>36</v>
      </c>
      <c r="B127" s="13" t="n">
        <v>45931</v>
      </c>
      <c r="C127" s="13" t="n">
        <v>46295</v>
      </c>
      <c r="D127" s="13" t="n">
        <v>45931</v>
      </c>
      <c r="E127" t="n">
        <v>0</v>
      </c>
      <c r="F127" s="13" t="n">
        <v>46295</v>
      </c>
      <c r="G127" t="n">
        <v>1273.73</v>
      </c>
      <c r="H127" t="n">
        <v>428.737518</v>
      </c>
      <c r="I127" t="n">
        <v>260.605158</v>
      </c>
      <c r="J127" t="n">
        <v>284.423909</v>
      </c>
      <c r="K127" t="n">
        <v>410.905298</v>
      </c>
      <c r="L127" t="n">
        <v>186.983564</v>
      </c>
      <c r="M127" t="n">
        <v>132.085801</v>
      </c>
      <c r="N127" t="n">
        <v>144.568355</v>
      </c>
      <c r="O127" t="n">
        <v>110.559764</v>
      </c>
      <c r="P127" t="n">
        <v>88.396862</v>
      </c>
      <c r="Q127" t="n">
        <v>84.957791</v>
      </c>
      <c r="R127" t="n">
        <v>104.318487</v>
      </c>
      <c r="S127" t="n">
        <v>105.210098</v>
      </c>
      <c r="T127" t="n">
        <v>104.063741</v>
      </c>
      <c r="U127" t="n">
        <v>124.698167</v>
      </c>
      <c r="V127" t="n">
        <v>138.072332</v>
      </c>
      <c r="W127" t="n">
        <v>190.550008</v>
      </c>
      <c r="X127" t="n">
        <v>9.807721000000001</v>
      </c>
      <c r="Y127" t="n">
        <v>7.64238</v>
      </c>
      <c r="Z127" t="n">
        <v>7.515007</v>
      </c>
      <c r="AA127" t="n">
        <v>5.986531</v>
      </c>
      <c r="AB127" t="n">
        <v>4.585428</v>
      </c>
      <c r="AC127" t="n">
        <v>4.585428</v>
      </c>
      <c r="AD127" t="n">
        <v>5.477039</v>
      </c>
      <c r="AE127" t="n">
        <v>5.477039</v>
      </c>
      <c r="AF127" t="n">
        <v>5.604412</v>
      </c>
      <c r="AG127" t="n">
        <v>6.496023</v>
      </c>
      <c r="AH127" t="n">
        <v>7.515007</v>
      </c>
      <c r="AI127" t="n">
        <v>9.935093999999999</v>
      </c>
    </row>
    <row r="128">
      <c r="A128" t="n">
        <v>36</v>
      </c>
      <c r="B128" s="13" t="n">
        <v>46296</v>
      </c>
      <c r="C128" s="13" t="n">
        <v>2958465</v>
      </c>
      <c r="D128" s="13" t="n">
        <v>46296</v>
      </c>
      <c r="E128" t="n">
        <v>1</v>
      </c>
      <c r="G128" t="n">
        <v>1149.06</v>
      </c>
      <c r="H128" t="n">
        <v>384.015852</v>
      </c>
      <c r="I128" t="n">
        <v>235.442394</v>
      </c>
      <c r="J128" t="n">
        <v>254.057166</v>
      </c>
      <c r="K128" t="n">
        <v>375.627714</v>
      </c>
      <c r="L128" t="n">
        <v>165.234828</v>
      </c>
      <c r="M128" t="n">
        <v>120.766206</v>
      </c>
      <c r="N128" t="n">
        <v>128.924532</v>
      </c>
      <c r="O128" t="n">
        <v>98.24463</v>
      </c>
      <c r="P128" t="n">
        <v>81.81307200000001</v>
      </c>
      <c r="Q128" t="n">
        <v>76.527396</v>
      </c>
      <c r="R128" t="n">
        <v>92.49933</v>
      </c>
      <c r="S128" t="n">
        <v>94.22292</v>
      </c>
      <c r="T128" t="n">
        <v>93.30367200000001</v>
      </c>
      <c r="U128" t="n">
        <v>113.642034</v>
      </c>
      <c r="V128" t="n">
        <v>126.741318</v>
      </c>
      <c r="W128" t="n">
        <v>173.967684</v>
      </c>
      <c r="X128" t="n">
        <v>8.61795</v>
      </c>
      <c r="Y128" t="n">
        <v>7.009266</v>
      </c>
      <c r="Z128" t="n">
        <v>6.779454</v>
      </c>
      <c r="AA128" t="n">
        <v>5.285676</v>
      </c>
      <c r="AB128" t="n">
        <v>4.251522</v>
      </c>
      <c r="AC128" t="n">
        <v>4.136616</v>
      </c>
      <c r="AD128" t="n">
        <v>4.826052</v>
      </c>
      <c r="AE128" t="n">
        <v>4.940958</v>
      </c>
      <c r="AF128" t="n">
        <v>5.055864</v>
      </c>
      <c r="AG128" t="n">
        <v>5.975112</v>
      </c>
      <c r="AH128" t="n">
        <v>6.89436</v>
      </c>
      <c r="AI128" t="n">
        <v>9.077574</v>
      </c>
    </row>
    <row r="129">
      <c r="A129" t="n">
        <v>37</v>
      </c>
      <c r="B129" s="13" t="n">
        <v>44835</v>
      </c>
      <c r="C129" s="13" t="n">
        <v>45199</v>
      </c>
      <c r="D129" s="13" t="n">
        <v>44835</v>
      </c>
      <c r="E129" t="n">
        <v>0</v>
      </c>
      <c r="F129" s="13" t="n">
        <v>45199</v>
      </c>
      <c r="G129" t="n">
        <v>1232.09</v>
      </c>
      <c r="H129" t="n">
        <v>405.727237</v>
      </c>
      <c r="I129" t="n">
        <v>257.383601</v>
      </c>
      <c r="J129" t="n">
        <v>278.45234</v>
      </c>
      <c r="K129" t="n">
        <v>396.486562</v>
      </c>
      <c r="L129" t="n">
        <v>180.131558</v>
      </c>
      <c r="M129" t="n">
        <v>130.724749</v>
      </c>
      <c r="N129" t="n">
        <v>133.435347</v>
      </c>
      <c r="O129" t="n">
        <v>109.409592</v>
      </c>
      <c r="P129" t="n">
        <v>85.01421000000001</v>
      </c>
      <c r="Q129" t="n">
        <v>86.739136</v>
      </c>
      <c r="R129" t="n">
        <v>99.79929</v>
      </c>
      <c r="S129" t="n">
        <v>102.140261</v>
      </c>
      <c r="T129" t="n">
        <v>102.386679</v>
      </c>
      <c r="U129" t="n">
        <v>116.802132</v>
      </c>
      <c r="V129" t="n">
        <v>129.862286</v>
      </c>
      <c r="W129" t="n">
        <v>187.154471</v>
      </c>
      <c r="X129" t="n">
        <v>9.487093</v>
      </c>
      <c r="Y129" t="n">
        <v>7.638958</v>
      </c>
      <c r="Z129" t="n">
        <v>7.022913</v>
      </c>
      <c r="AA129" t="n">
        <v>5.914032</v>
      </c>
      <c r="AB129" t="n">
        <v>4.435524</v>
      </c>
      <c r="AC129" t="n">
        <v>4.681942</v>
      </c>
      <c r="AD129" t="n">
        <v>5.174778</v>
      </c>
      <c r="AE129" t="n">
        <v>5.297987</v>
      </c>
      <c r="AF129" t="n">
        <v>5.544405</v>
      </c>
      <c r="AG129" t="n">
        <v>6.16045</v>
      </c>
      <c r="AH129" t="n">
        <v>7.022913</v>
      </c>
      <c r="AI129" t="n">
        <v>9.856719999999999</v>
      </c>
    </row>
    <row r="130">
      <c r="A130" t="n">
        <v>37</v>
      </c>
      <c r="B130" s="13" t="n">
        <v>45200</v>
      </c>
      <c r="C130" s="13" t="n">
        <v>45565</v>
      </c>
      <c r="D130" s="13" t="n">
        <v>45200</v>
      </c>
      <c r="E130" t="n">
        <v>0</v>
      </c>
      <c r="F130" s="13" t="n">
        <v>45565</v>
      </c>
      <c r="G130" t="n">
        <v>1352.98</v>
      </c>
      <c r="H130" t="n">
        <v>467.860484</v>
      </c>
      <c r="I130" t="n">
        <v>279.660966</v>
      </c>
      <c r="J130" t="n">
        <v>296.167322</v>
      </c>
      <c r="K130" t="n">
        <v>429.029958</v>
      </c>
      <c r="L130" t="n">
        <v>206.870642</v>
      </c>
      <c r="M130" t="n">
        <v>151.939654</v>
      </c>
      <c r="N130" t="n">
        <v>153.698528</v>
      </c>
      <c r="O130" t="n">
        <v>120.685816</v>
      </c>
      <c r="P130" t="n">
        <v>93.35562</v>
      </c>
      <c r="Q130" t="n">
        <v>91.596746</v>
      </c>
      <c r="R130" t="n">
        <v>105.938334</v>
      </c>
      <c r="S130" t="n">
        <v>109.050188</v>
      </c>
      <c r="T130" t="n">
        <v>108.779592</v>
      </c>
      <c r="U130" t="n">
        <v>127.85661</v>
      </c>
      <c r="V130" t="n">
        <v>139.627536</v>
      </c>
      <c r="W130" t="n">
        <v>201.864616</v>
      </c>
      <c r="X130" t="n">
        <v>10.82384</v>
      </c>
      <c r="Y130" t="n">
        <v>8.523774</v>
      </c>
      <c r="Z130" t="n">
        <v>7.982582</v>
      </c>
      <c r="AA130" t="n">
        <v>6.494304</v>
      </c>
      <c r="AB130" t="n">
        <v>4.870728</v>
      </c>
      <c r="AC130" t="n">
        <v>5.006026</v>
      </c>
      <c r="AD130" t="n">
        <v>5.547218</v>
      </c>
      <c r="AE130" t="n">
        <v>5.682516</v>
      </c>
      <c r="AF130" t="n">
        <v>5.953112</v>
      </c>
      <c r="AG130" t="n">
        <v>6.7649</v>
      </c>
      <c r="AH130" t="n">
        <v>7.576688</v>
      </c>
      <c r="AI130" t="n">
        <v>10.553244</v>
      </c>
    </row>
    <row r="131">
      <c r="A131" t="n">
        <v>37</v>
      </c>
      <c r="B131" s="13" t="n">
        <v>45566</v>
      </c>
      <c r="C131" s="13" t="n">
        <v>45930</v>
      </c>
      <c r="D131" s="13" t="n">
        <v>45566</v>
      </c>
      <c r="E131" t="n">
        <v>0</v>
      </c>
      <c r="F131" s="13" t="n">
        <v>45930</v>
      </c>
      <c r="G131" t="n">
        <v>1332.49</v>
      </c>
      <c r="H131" t="n">
        <v>450.648118</v>
      </c>
      <c r="I131" t="n">
        <v>273.293699</v>
      </c>
      <c r="J131" t="n">
        <v>300.476495</v>
      </c>
      <c r="K131" t="n">
        <v>423.332073</v>
      </c>
      <c r="L131" t="n">
        <v>198.674259</v>
      </c>
      <c r="M131" t="n">
        <v>142.709679</v>
      </c>
      <c r="N131" t="n">
        <v>152.570105</v>
      </c>
      <c r="O131" t="n">
        <v>117.792116</v>
      </c>
      <c r="P131" t="n">
        <v>91.40881400000001</v>
      </c>
      <c r="Q131" t="n">
        <v>89.410079</v>
      </c>
      <c r="R131" t="n">
        <v>108.864433</v>
      </c>
      <c r="S131" t="n">
        <v>111.262915</v>
      </c>
      <c r="T131" t="n">
        <v>108.331437</v>
      </c>
      <c r="U131" t="n">
        <v>127.252795</v>
      </c>
      <c r="V131" t="n">
        <v>138.845458</v>
      </c>
      <c r="W131" t="n">
        <v>197.341769</v>
      </c>
      <c r="X131" t="n">
        <v>10.393422</v>
      </c>
      <c r="Y131" t="n">
        <v>8.261438</v>
      </c>
      <c r="Z131" t="n">
        <v>7.99494</v>
      </c>
      <c r="AA131" t="n">
        <v>6.395952</v>
      </c>
      <c r="AB131" t="n">
        <v>4.796964</v>
      </c>
      <c r="AC131" t="n">
        <v>4.796964</v>
      </c>
      <c r="AD131" t="n">
        <v>5.729707</v>
      </c>
      <c r="AE131" t="n">
        <v>5.862956</v>
      </c>
      <c r="AF131" t="n">
        <v>5.862956</v>
      </c>
      <c r="AG131" t="n">
        <v>6.66245</v>
      </c>
      <c r="AH131" t="n">
        <v>7.461944</v>
      </c>
      <c r="AI131" t="n">
        <v>10.393422</v>
      </c>
    </row>
    <row r="132">
      <c r="A132" t="n">
        <v>37</v>
      </c>
      <c r="B132" s="13" t="n">
        <v>45931</v>
      </c>
      <c r="C132" s="13" t="n">
        <v>46295</v>
      </c>
      <c r="D132" s="13" t="n">
        <v>45931</v>
      </c>
      <c r="E132" t="n">
        <v>0</v>
      </c>
      <c r="F132" s="13" t="n">
        <v>46295</v>
      </c>
      <c r="G132" t="n">
        <v>1273.73</v>
      </c>
      <c r="H132" t="n">
        <v>428.737518</v>
      </c>
      <c r="I132" t="n">
        <v>260.605158</v>
      </c>
      <c r="J132" t="n">
        <v>284.423909</v>
      </c>
      <c r="K132" t="n">
        <v>410.905298</v>
      </c>
      <c r="L132" t="n">
        <v>186.983564</v>
      </c>
      <c r="M132" t="n">
        <v>132.085801</v>
      </c>
      <c r="N132" t="n">
        <v>144.568355</v>
      </c>
      <c r="O132" t="n">
        <v>110.559764</v>
      </c>
      <c r="P132" t="n">
        <v>88.396862</v>
      </c>
      <c r="Q132" t="n">
        <v>84.957791</v>
      </c>
      <c r="R132" t="n">
        <v>104.318487</v>
      </c>
      <c r="S132" t="n">
        <v>105.210098</v>
      </c>
      <c r="T132" t="n">
        <v>104.063741</v>
      </c>
      <c r="U132" t="n">
        <v>124.698167</v>
      </c>
      <c r="V132" t="n">
        <v>138.072332</v>
      </c>
      <c r="W132" t="n">
        <v>190.550008</v>
      </c>
      <c r="X132" t="n">
        <v>9.807721000000001</v>
      </c>
      <c r="Y132" t="n">
        <v>7.64238</v>
      </c>
      <c r="Z132" t="n">
        <v>7.515007</v>
      </c>
      <c r="AA132" t="n">
        <v>5.986531</v>
      </c>
      <c r="AB132" t="n">
        <v>4.585428</v>
      </c>
      <c r="AC132" t="n">
        <v>4.585428</v>
      </c>
      <c r="AD132" t="n">
        <v>5.477039</v>
      </c>
      <c r="AE132" t="n">
        <v>5.477039</v>
      </c>
      <c r="AF132" t="n">
        <v>5.604412</v>
      </c>
      <c r="AG132" t="n">
        <v>6.496023</v>
      </c>
      <c r="AH132" t="n">
        <v>7.515007</v>
      </c>
      <c r="AI132" t="n">
        <v>9.935093999999999</v>
      </c>
    </row>
    <row r="133">
      <c r="A133" t="n">
        <v>37</v>
      </c>
      <c r="B133" s="13" t="n">
        <v>46296</v>
      </c>
      <c r="C133" s="13" t="n">
        <v>2958465</v>
      </c>
      <c r="D133" s="13" t="n">
        <v>46296</v>
      </c>
      <c r="E133" t="n">
        <v>1</v>
      </c>
      <c r="G133" t="n">
        <v>1149.06</v>
      </c>
      <c r="H133" t="n">
        <v>384.015852</v>
      </c>
      <c r="I133" t="n">
        <v>235.442394</v>
      </c>
      <c r="J133" t="n">
        <v>254.057166</v>
      </c>
      <c r="K133" t="n">
        <v>375.627714</v>
      </c>
      <c r="L133" t="n">
        <v>165.234828</v>
      </c>
      <c r="M133" t="n">
        <v>120.766206</v>
      </c>
      <c r="N133" t="n">
        <v>128.924532</v>
      </c>
      <c r="O133" t="n">
        <v>98.24463</v>
      </c>
      <c r="P133" t="n">
        <v>81.81307200000001</v>
      </c>
      <c r="Q133" t="n">
        <v>76.527396</v>
      </c>
      <c r="R133" t="n">
        <v>92.49933</v>
      </c>
      <c r="S133" t="n">
        <v>94.22292</v>
      </c>
      <c r="T133" t="n">
        <v>93.30367200000001</v>
      </c>
      <c r="U133" t="n">
        <v>113.642034</v>
      </c>
      <c r="V133" t="n">
        <v>126.741318</v>
      </c>
      <c r="W133" t="n">
        <v>173.967684</v>
      </c>
      <c r="X133" t="n">
        <v>8.61795</v>
      </c>
      <c r="Y133" t="n">
        <v>7.009266</v>
      </c>
      <c r="Z133" t="n">
        <v>6.779454</v>
      </c>
      <c r="AA133" t="n">
        <v>5.285676</v>
      </c>
      <c r="AB133" t="n">
        <v>4.251522</v>
      </c>
      <c r="AC133" t="n">
        <v>4.136616</v>
      </c>
      <c r="AD133" t="n">
        <v>4.826052</v>
      </c>
      <c r="AE133" t="n">
        <v>4.940958</v>
      </c>
      <c r="AF133" t="n">
        <v>5.055864</v>
      </c>
      <c r="AG133" t="n">
        <v>5.975112</v>
      </c>
      <c r="AH133" t="n">
        <v>6.89436</v>
      </c>
      <c r="AI133" t="n">
        <v>9.077574</v>
      </c>
    </row>
    <row r="134">
      <c r="A134" t="n">
        <v>38</v>
      </c>
      <c r="B134" s="13" t="n">
        <v>44835</v>
      </c>
      <c r="C134" s="13" t="n">
        <v>45199</v>
      </c>
      <c r="D134" s="13" t="n">
        <v>44835</v>
      </c>
      <c r="E134" t="n">
        <v>0</v>
      </c>
      <c r="F134" s="13" t="n">
        <v>45199</v>
      </c>
      <c r="G134" t="n">
        <v>1202.36</v>
      </c>
      <c r="H134" t="n">
        <v>395.937148</v>
      </c>
      <c r="I134" t="n">
        <v>251.173004</v>
      </c>
      <c r="J134" t="n">
        <v>271.73336</v>
      </c>
      <c r="K134" t="n">
        <v>386.919448</v>
      </c>
      <c r="L134" t="n">
        <v>175.785032</v>
      </c>
      <c r="M134" t="n">
        <v>127.570396</v>
      </c>
      <c r="N134" t="n">
        <v>130.215588</v>
      </c>
      <c r="O134" t="n">
        <v>106.769568</v>
      </c>
      <c r="P134" t="n">
        <v>82.96284</v>
      </c>
      <c r="Q134" t="n">
        <v>84.64614400000001</v>
      </c>
      <c r="R134" t="n">
        <v>97.39116</v>
      </c>
      <c r="S134" t="n">
        <v>99.67564400000001</v>
      </c>
      <c r="T134" t="n">
        <v>99.916116</v>
      </c>
      <c r="U134" t="n">
        <v>113.983728</v>
      </c>
      <c r="V134" t="n">
        <v>126.728744</v>
      </c>
      <c r="W134" t="n">
        <v>182.638484</v>
      </c>
      <c r="X134" t="n">
        <v>9.258172</v>
      </c>
      <c r="Y134" t="n">
        <v>7.454632</v>
      </c>
      <c r="Z134" t="n">
        <v>6.853452</v>
      </c>
      <c r="AA134" t="n">
        <v>5.771328</v>
      </c>
      <c r="AB134" t="n">
        <v>4.328496</v>
      </c>
      <c r="AC134" t="n">
        <v>4.568968</v>
      </c>
      <c r="AD134" t="n">
        <v>5.049912</v>
      </c>
      <c r="AE134" t="n">
        <v>5.170148</v>
      </c>
      <c r="AF134" t="n">
        <v>5.41062</v>
      </c>
      <c r="AG134" t="n">
        <v>6.0118</v>
      </c>
      <c r="AH134" t="n">
        <v>6.853452</v>
      </c>
      <c r="AI134" t="n">
        <v>9.618880000000001</v>
      </c>
    </row>
    <row r="135">
      <c r="A135" t="n">
        <v>38</v>
      </c>
      <c r="B135" s="13" t="n">
        <v>45200</v>
      </c>
      <c r="C135" s="13" t="n">
        <v>45565</v>
      </c>
      <c r="D135" s="13" t="n">
        <v>45200</v>
      </c>
      <c r="E135" t="n">
        <v>0</v>
      </c>
      <c r="F135" s="13" t="n">
        <v>45565</v>
      </c>
      <c r="G135" t="n">
        <v>1263.77</v>
      </c>
      <c r="H135" t="n">
        <v>437.011666</v>
      </c>
      <c r="I135" t="n">
        <v>261.221259</v>
      </c>
      <c r="J135" t="n">
        <v>276.639253</v>
      </c>
      <c r="K135" t="n">
        <v>400.741467</v>
      </c>
      <c r="L135" t="n">
        <v>193.230433</v>
      </c>
      <c r="M135" t="n">
        <v>141.921371</v>
      </c>
      <c r="N135" t="n">
        <v>143.564272</v>
      </c>
      <c r="O135" t="n">
        <v>112.728284</v>
      </c>
      <c r="P135" t="n">
        <v>87.20013</v>
      </c>
      <c r="Q135" t="n">
        <v>85.55722900000001</v>
      </c>
      <c r="R135" t="n">
        <v>98.953191</v>
      </c>
      <c r="S135" t="n">
        <v>101.859862</v>
      </c>
      <c r="T135" t="n">
        <v>101.607108</v>
      </c>
      <c r="U135" t="n">
        <v>119.426265</v>
      </c>
      <c r="V135" t="n">
        <v>130.421064</v>
      </c>
      <c r="W135" t="n">
        <v>188.554484</v>
      </c>
      <c r="X135" t="n">
        <v>10.11016</v>
      </c>
      <c r="Y135" t="n">
        <v>7.961751</v>
      </c>
      <c r="Z135" t="n">
        <v>7.456243</v>
      </c>
      <c r="AA135" t="n">
        <v>6.066096</v>
      </c>
      <c r="AB135" t="n">
        <v>4.549572</v>
      </c>
      <c r="AC135" t="n">
        <v>4.675949</v>
      </c>
      <c r="AD135" t="n">
        <v>5.181457</v>
      </c>
      <c r="AE135" t="n">
        <v>5.307834</v>
      </c>
      <c r="AF135" t="n">
        <v>5.560588</v>
      </c>
      <c r="AG135" t="n">
        <v>6.31885</v>
      </c>
      <c r="AH135" t="n">
        <v>7.077112</v>
      </c>
      <c r="AI135" t="n">
        <v>9.857405999999999</v>
      </c>
    </row>
    <row r="136">
      <c r="A136" t="n">
        <v>38</v>
      </c>
      <c r="B136" s="13" t="n">
        <v>45566</v>
      </c>
      <c r="C136" s="13" t="n">
        <v>45930</v>
      </c>
      <c r="D136" s="13" t="n">
        <v>45566</v>
      </c>
      <c r="E136" t="n">
        <v>0</v>
      </c>
      <c r="F136" s="13" t="n">
        <v>45930</v>
      </c>
      <c r="G136" t="n">
        <v>1263.18</v>
      </c>
      <c r="H136" t="n">
        <v>427.207476</v>
      </c>
      <c r="I136" t="n">
        <v>259.078218</v>
      </c>
      <c r="J136" t="n">
        <v>284.84709</v>
      </c>
      <c r="K136" t="n">
        <v>401.312286</v>
      </c>
      <c r="L136" t="n">
        <v>188.340138</v>
      </c>
      <c r="M136" t="n">
        <v>135.286578</v>
      </c>
      <c r="N136" t="n">
        <v>144.63411</v>
      </c>
      <c r="O136" t="n">
        <v>111.665112</v>
      </c>
      <c r="P136" t="n">
        <v>86.65414800000001</v>
      </c>
      <c r="Q136" t="n">
        <v>84.759378</v>
      </c>
      <c r="R136" t="n">
        <v>103.201806</v>
      </c>
      <c r="S136" t="n">
        <v>105.47553</v>
      </c>
      <c r="T136" t="n">
        <v>102.696534</v>
      </c>
      <c r="U136" t="n">
        <v>120.63369</v>
      </c>
      <c r="V136" t="n">
        <v>131.623356</v>
      </c>
      <c r="W136" t="n">
        <v>187.076958</v>
      </c>
      <c r="X136" t="n">
        <v>9.852804000000001</v>
      </c>
      <c r="Y136" t="n">
        <v>7.831716</v>
      </c>
      <c r="Z136" t="n">
        <v>7.57908</v>
      </c>
      <c r="AA136" t="n">
        <v>6.063264</v>
      </c>
      <c r="AB136" t="n">
        <v>4.547448</v>
      </c>
      <c r="AC136" t="n">
        <v>4.547448</v>
      </c>
      <c r="AD136" t="n">
        <v>5.431674</v>
      </c>
      <c r="AE136" t="n">
        <v>5.557992</v>
      </c>
      <c r="AF136" t="n">
        <v>5.557992</v>
      </c>
      <c r="AG136" t="n">
        <v>6.3159</v>
      </c>
      <c r="AH136" t="n">
        <v>7.073808</v>
      </c>
      <c r="AI136" t="n">
        <v>9.852804000000001</v>
      </c>
    </row>
    <row r="137">
      <c r="A137" t="n">
        <v>38</v>
      </c>
      <c r="B137" s="13" t="n">
        <v>45931</v>
      </c>
      <c r="C137" s="13" t="n">
        <v>46295</v>
      </c>
      <c r="D137" s="13" t="n">
        <v>45931</v>
      </c>
      <c r="E137" t="n">
        <v>0</v>
      </c>
      <c r="F137" s="13" t="n">
        <v>46295</v>
      </c>
      <c r="G137" t="n">
        <v>1327.27</v>
      </c>
      <c r="H137" t="n">
        <v>446.759082</v>
      </c>
      <c r="I137" t="n">
        <v>271.559442</v>
      </c>
      <c r="J137" t="n">
        <v>296.379391</v>
      </c>
      <c r="K137" t="n">
        <v>428.177302</v>
      </c>
      <c r="L137" t="n">
        <v>194.843236</v>
      </c>
      <c r="M137" t="n">
        <v>137.637899</v>
      </c>
      <c r="N137" t="n">
        <v>150.645145</v>
      </c>
      <c r="O137" t="n">
        <v>115.207036</v>
      </c>
      <c r="P137" t="n">
        <v>92.112538</v>
      </c>
      <c r="Q137" t="n">
        <v>88.528909</v>
      </c>
      <c r="R137" t="n">
        <v>108.703413</v>
      </c>
      <c r="S137" t="n">
        <v>109.632502</v>
      </c>
      <c r="T137" t="n">
        <v>108.437959</v>
      </c>
      <c r="U137" t="n">
        <v>129.939733</v>
      </c>
      <c r="V137" t="n">
        <v>143.876068</v>
      </c>
      <c r="W137" t="n">
        <v>198.559592</v>
      </c>
      <c r="X137" t="n">
        <v>10.219979</v>
      </c>
      <c r="Y137" t="n">
        <v>7.96362</v>
      </c>
      <c r="Z137" t="n">
        <v>7.830893</v>
      </c>
      <c r="AA137" t="n">
        <v>6.238169</v>
      </c>
      <c r="AB137" t="n">
        <v>4.778172</v>
      </c>
      <c r="AC137" t="n">
        <v>4.778172</v>
      </c>
      <c r="AD137" t="n">
        <v>5.707261</v>
      </c>
      <c r="AE137" t="n">
        <v>5.707261</v>
      </c>
      <c r="AF137" t="n">
        <v>5.839988</v>
      </c>
      <c r="AG137" t="n">
        <v>6.769077</v>
      </c>
      <c r="AH137" t="n">
        <v>7.830893</v>
      </c>
      <c r="AI137" t="n">
        <v>10.352706</v>
      </c>
    </row>
    <row r="138">
      <c r="A138" t="n">
        <v>38</v>
      </c>
      <c r="B138" s="13" t="n">
        <v>46296</v>
      </c>
      <c r="C138" s="13" t="n">
        <v>2958465</v>
      </c>
      <c r="D138" s="13" t="n">
        <v>46296</v>
      </c>
      <c r="E138" t="n">
        <v>1</v>
      </c>
      <c r="G138" t="n">
        <v>1326.48</v>
      </c>
      <c r="H138" t="n">
        <v>443.309616</v>
      </c>
      <c r="I138" t="n">
        <v>271.795752</v>
      </c>
      <c r="J138" t="n">
        <v>293.284728</v>
      </c>
      <c r="K138" t="n">
        <v>433.626312</v>
      </c>
      <c r="L138" t="n">
        <v>190.747824</v>
      </c>
      <c r="M138" t="n">
        <v>139.413048</v>
      </c>
      <c r="N138" t="n">
        <v>148.831056</v>
      </c>
      <c r="O138" t="n">
        <v>113.41404</v>
      </c>
      <c r="P138" t="n">
        <v>94.445376</v>
      </c>
      <c r="Q138" t="n">
        <v>88.343568</v>
      </c>
      <c r="R138" t="n">
        <v>106.78164</v>
      </c>
      <c r="S138" t="n">
        <v>108.77136</v>
      </c>
      <c r="T138" t="n">
        <v>107.710176</v>
      </c>
      <c r="U138" t="n">
        <v>131.188872</v>
      </c>
      <c r="V138" t="n">
        <v>146.310744</v>
      </c>
      <c r="W138" t="n">
        <v>200.829072</v>
      </c>
      <c r="X138" t="n">
        <v>9.948600000000001</v>
      </c>
      <c r="Y138" t="n">
        <v>8.091528</v>
      </c>
      <c r="Z138" t="n">
        <v>7.826232</v>
      </c>
      <c r="AA138" t="n">
        <v>6.101808</v>
      </c>
      <c r="AB138" t="n">
        <v>4.907976</v>
      </c>
      <c r="AC138" t="n">
        <v>4.775328</v>
      </c>
      <c r="AD138" t="n">
        <v>5.571216</v>
      </c>
      <c r="AE138" t="n">
        <v>5.703864</v>
      </c>
      <c r="AF138" t="n">
        <v>5.836512</v>
      </c>
      <c r="AG138" t="n">
        <v>6.897696</v>
      </c>
      <c r="AH138" t="n">
        <v>7.95888</v>
      </c>
      <c r="AI138" t="n">
        <v>10.479192</v>
      </c>
    </row>
    <row r="139">
      <c r="A139" t="n">
        <v>39</v>
      </c>
      <c r="B139" s="13" t="n">
        <v>44835</v>
      </c>
      <c r="C139" s="13" t="n">
        <v>45199</v>
      </c>
      <c r="D139" s="13" t="n">
        <v>44835</v>
      </c>
      <c r="E139" t="n">
        <v>0</v>
      </c>
      <c r="F139" s="13" t="n">
        <v>45199</v>
      </c>
      <c r="G139" t="n">
        <v>1202.36</v>
      </c>
      <c r="H139" t="n">
        <v>395.937148</v>
      </c>
      <c r="I139" t="n">
        <v>251.173004</v>
      </c>
      <c r="J139" t="n">
        <v>271.73336</v>
      </c>
      <c r="K139" t="n">
        <v>386.919448</v>
      </c>
      <c r="L139" t="n">
        <v>175.785032</v>
      </c>
      <c r="M139" t="n">
        <v>127.570396</v>
      </c>
      <c r="N139" t="n">
        <v>130.215588</v>
      </c>
      <c r="O139" t="n">
        <v>106.769568</v>
      </c>
      <c r="P139" t="n">
        <v>82.96284</v>
      </c>
      <c r="Q139" t="n">
        <v>84.64614400000001</v>
      </c>
      <c r="R139" t="n">
        <v>97.39116</v>
      </c>
      <c r="S139" t="n">
        <v>99.67564400000001</v>
      </c>
      <c r="T139" t="n">
        <v>99.916116</v>
      </c>
      <c r="U139" t="n">
        <v>113.983728</v>
      </c>
      <c r="V139" t="n">
        <v>126.728744</v>
      </c>
      <c r="W139" t="n">
        <v>182.638484</v>
      </c>
      <c r="X139" t="n">
        <v>9.258172</v>
      </c>
      <c r="Y139" t="n">
        <v>7.454632</v>
      </c>
      <c r="Z139" t="n">
        <v>6.853452</v>
      </c>
      <c r="AA139" t="n">
        <v>5.771328</v>
      </c>
      <c r="AB139" t="n">
        <v>4.328496</v>
      </c>
      <c r="AC139" t="n">
        <v>4.568968</v>
      </c>
      <c r="AD139" t="n">
        <v>5.049912</v>
      </c>
      <c r="AE139" t="n">
        <v>5.170148</v>
      </c>
      <c r="AF139" t="n">
        <v>5.41062</v>
      </c>
      <c r="AG139" t="n">
        <v>6.0118</v>
      </c>
      <c r="AH139" t="n">
        <v>6.853452</v>
      </c>
      <c r="AI139" t="n">
        <v>9.618880000000001</v>
      </c>
    </row>
    <row r="140">
      <c r="A140" t="n">
        <v>39</v>
      </c>
      <c r="B140" s="13" t="n">
        <v>45200</v>
      </c>
      <c r="C140" s="13" t="n">
        <v>45565</v>
      </c>
      <c r="D140" s="13" t="n">
        <v>45200</v>
      </c>
      <c r="E140" t="n">
        <v>0</v>
      </c>
      <c r="F140" s="13" t="n">
        <v>45565</v>
      </c>
      <c r="G140" t="n">
        <v>1263.77</v>
      </c>
      <c r="H140" t="n">
        <v>437.011666</v>
      </c>
      <c r="I140" t="n">
        <v>261.221259</v>
      </c>
      <c r="J140" t="n">
        <v>276.639253</v>
      </c>
      <c r="K140" t="n">
        <v>400.741467</v>
      </c>
      <c r="L140" t="n">
        <v>193.230433</v>
      </c>
      <c r="M140" t="n">
        <v>141.921371</v>
      </c>
      <c r="N140" t="n">
        <v>143.564272</v>
      </c>
      <c r="O140" t="n">
        <v>112.728284</v>
      </c>
      <c r="P140" t="n">
        <v>87.20013</v>
      </c>
      <c r="Q140" t="n">
        <v>85.55722900000001</v>
      </c>
      <c r="R140" t="n">
        <v>98.953191</v>
      </c>
      <c r="S140" t="n">
        <v>101.859862</v>
      </c>
      <c r="T140" t="n">
        <v>101.607108</v>
      </c>
      <c r="U140" t="n">
        <v>119.426265</v>
      </c>
      <c r="V140" t="n">
        <v>130.421064</v>
      </c>
      <c r="W140" t="n">
        <v>188.554484</v>
      </c>
      <c r="X140" t="n">
        <v>10.11016</v>
      </c>
      <c r="Y140" t="n">
        <v>7.961751</v>
      </c>
      <c r="Z140" t="n">
        <v>7.456243</v>
      </c>
      <c r="AA140" t="n">
        <v>6.066096</v>
      </c>
      <c r="AB140" t="n">
        <v>4.549572</v>
      </c>
      <c r="AC140" t="n">
        <v>4.675949</v>
      </c>
      <c r="AD140" t="n">
        <v>5.181457</v>
      </c>
      <c r="AE140" t="n">
        <v>5.307834</v>
      </c>
      <c r="AF140" t="n">
        <v>5.560588</v>
      </c>
      <c r="AG140" t="n">
        <v>6.31885</v>
      </c>
      <c r="AH140" t="n">
        <v>7.077112</v>
      </c>
      <c r="AI140" t="n">
        <v>9.857405999999999</v>
      </c>
    </row>
    <row r="141">
      <c r="A141" t="n">
        <v>39</v>
      </c>
      <c r="B141" s="13" t="n">
        <v>45566</v>
      </c>
      <c r="C141" s="13" t="n">
        <v>45930</v>
      </c>
      <c r="D141" s="13" t="n">
        <v>45566</v>
      </c>
      <c r="E141" t="n">
        <v>0</v>
      </c>
      <c r="F141" s="13" t="n">
        <v>45930</v>
      </c>
      <c r="G141" t="n">
        <v>1263.18</v>
      </c>
      <c r="H141" t="n">
        <v>427.207476</v>
      </c>
      <c r="I141" t="n">
        <v>259.078218</v>
      </c>
      <c r="J141" t="n">
        <v>284.84709</v>
      </c>
      <c r="K141" t="n">
        <v>401.312286</v>
      </c>
      <c r="L141" t="n">
        <v>188.340138</v>
      </c>
      <c r="M141" t="n">
        <v>135.286578</v>
      </c>
      <c r="N141" t="n">
        <v>144.63411</v>
      </c>
      <c r="O141" t="n">
        <v>111.665112</v>
      </c>
      <c r="P141" t="n">
        <v>86.65414800000001</v>
      </c>
      <c r="Q141" t="n">
        <v>84.759378</v>
      </c>
      <c r="R141" t="n">
        <v>103.201806</v>
      </c>
      <c r="S141" t="n">
        <v>105.47553</v>
      </c>
      <c r="T141" t="n">
        <v>102.696534</v>
      </c>
      <c r="U141" t="n">
        <v>120.63369</v>
      </c>
      <c r="V141" t="n">
        <v>131.623356</v>
      </c>
      <c r="W141" t="n">
        <v>187.076958</v>
      </c>
      <c r="X141" t="n">
        <v>9.852804000000001</v>
      </c>
      <c r="Y141" t="n">
        <v>7.831716</v>
      </c>
      <c r="Z141" t="n">
        <v>7.57908</v>
      </c>
      <c r="AA141" t="n">
        <v>6.063264</v>
      </c>
      <c r="AB141" t="n">
        <v>4.547448</v>
      </c>
      <c r="AC141" t="n">
        <v>4.547448</v>
      </c>
      <c r="AD141" t="n">
        <v>5.431674</v>
      </c>
      <c r="AE141" t="n">
        <v>5.557992</v>
      </c>
      <c r="AF141" t="n">
        <v>5.557992</v>
      </c>
      <c r="AG141" t="n">
        <v>6.3159</v>
      </c>
      <c r="AH141" t="n">
        <v>7.073808</v>
      </c>
      <c r="AI141" t="n">
        <v>9.852804000000001</v>
      </c>
    </row>
    <row r="142">
      <c r="A142" t="n">
        <v>39</v>
      </c>
      <c r="B142" s="13" t="n">
        <v>45931</v>
      </c>
      <c r="C142" s="13" t="n">
        <v>46295</v>
      </c>
      <c r="D142" s="13" t="n">
        <v>45931</v>
      </c>
      <c r="E142" t="n">
        <v>0</v>
      </c>
      <c r="F142" s="13" t="n">
        <v>46295</v>
      </c>
      <c r="G142" t="n">
        <v>1327.27</v>
      </c>
      <c r="H142" t="n">
        <v>446.759082</v>
      </c>
      <c r="I142" t="n">
        <v>271.559442</v>
      </c>
      <c r="J142" t="n">
        <v>296.379391</v>
      </c>
      <c r="K142" t="n">
        <v>428.177302</v>
      </c>
      <c r="L142" t="n">
        <v>194.843236</v>
      </c>
      <c r="M142" t="n">
        <v>137.637899</v>
      </c>
      <c r="N142" t="n">
        <v>150.645145</v>
      </c>
      <c r="O142" t="n">
        <v>115.207036</v>
      </c>
      <c r="P142" t="n">
        <v>92.112538</v>
      </c>
      <c r="Q142" t="n">
        <v>88.528909</v>
      </c>
      <c r="R142" t="n">
        <v>108.703413</v>
      </c>
      <c r="S142" t="n">
        <v>109.632502</v>
      </c>
      <c r="T142" t="n">
        <v>108.437959</v>
      </c>
      <c r="U142" t="n">
        <v>129.939733</v>
      </c>
      <c r="V142" t="n">
        <v>143.876068</v>
      </c>
      <c r="W142" t="n">
        <v>198.559592</v>
      </c>
      <c r="X142" t="n">
        <v>10.219979</v>
      </c>
      <c r="Y142" t="n">
        <v>7.96362</v>
      </c>
      <c r="Z142" t="n">
        <v>7.830893</v>
      </c>
      <c r="AA142" t="n">
        <v>6.238169</v>
      </c>
      <c r="AB142" t="n">
        <v>4.778172</v>
      </c>
      <c r="AC142" t="n">
        <v>4.778172</v>
      </c>
      <c r="AD142" t="n">
        <v>5.707261</v>
      </c>
      <c r="AE142" t="n">
        <v>5.707261</v>
      </c>
      <c r="AF142" t="n">
        <v>5.839988</v>
      </c>
      <c r="AG142" t="n">
        <v>6.769077</v>
      </c>
      <c r="AH142" t="n">
        <v>7.830893</v>
      </c>
      <c r="AI142" t="n">
        <v>10.352706</v>
      </c>
    </row>
    <row r="143">
      <c r="A143" t="n">
        <v>39</v>
      </c>
      <c r="B143" s="13" t="n">
        <v>46296</v>
      </c>
      <c r="C143" s="13" t="n">
        <v>2958465</v>
      </c>
      <c r="D143" s="13" t="n">
        <v>46296</v>
      </c>
      <c r="E143" t="n">
        <v>1</v>
      </c>
      <c r="G143" t="n">
        <v>1326.48</v>
      </c>
      <c r="H143" t="n">
        <v>443.309616</v>
      </c>
      <c r="I143" t="n">
        <v>271.795752</v>
      </c>
      <c r="J143" t="n">
        <v>293.284728</v>
      </c>
      <c r="K143" t="n">
        <v>433.626312</v>
      </c>
      <c r="L143" t="n">
        <v>190.747824</v>
      </c>
      <c r="M143" t="n">
        <v>139.413048</v>
      </c>
      <c r="N143" t="n">
        <v>148.831056</v>
      </c>
      <c r="O143" t="n">
        <v>113.41404</v>
      </c>
      <c r="P143" t="n">
        <v>94.445376</v>
      </c>
      <c r="Q143" t="n">
        <v>88.343568</v>
      </c>
      <c r="R143" t="n">
        <v>106.78164</v>
      </c>
      <c r="S143" t="n">
        <v>108.77136</v>
      </c>
      <c r="T143" t="n">
        <v>107.710176</v>
      </c>
      <c r="U143" t="n">
        <v>131.188872</v>
      </c>
      <c r="V143" t="n">
        <v>146.310744</v>
      </c>
      <c r="W143" t="n">
        <v>200.829072</v>
      </c>
      <c r="X143" t="n">
        <v>9.948600000000001</v>
      </c>
      <c r="Y143" t="n">
        <v>8.091528</v>
      </c>
      <c r="Z143" t="n">
        <v>7.826232</v>
      </c>
      <c r="AA143" t="n">
        <v>6.101808</v>
      </c>
      <c r="AB143" t="n">
        <v>4.907976</v>
      </c>
      <c r="AC143" t="n">
        <v>4.775328</v>
      </c>
      <c r="AD143" t="n">
        <v>5.571216</v>
      </c>
      <c r="AE143" t="n">
        <v>5.703864</v>
      </c>
      <c r="AF143" t="n">
        <v>5.836512</v>
      </c>
      <c r="AG143" t="n">
        <v>6.897696</v>
      </c>
      <c r="AH143" t="n">
        <v>7.95888</v>
      </c>
      <c r="AI143" t="n">
        <v>10.479192</v>
      </c>
    </row>
    <row r="144">
      <c r="A144" t="n">
        <v>40</v>
      </c>
      <c r="B144" s="13" t="n">
        <v>44835</v>
      </c>
      <c r="C144" s="13" t="n">
        <v>45199</v>
      </c>
      <c r="D144" s="13" t="n">
        <v>44835</v>
      </c>
      <c r="E144" t="n">
        <v>0</v>
      </c>
      <c r="F144" s="13" t="n">
        <v>45199</v>
      </c>
      <c r="G144" t="n">
        <v>1202.36</v>
      </c>
      <c r="H144" t="n">
        <v>395.937148</v>
      </c>
      <c r="I144" t="n">
        <v>251.173004</v>
      </c>
      <c r="J144" t="n">
        <v>271.73336</v>
      </c>
      <c r="K144" t="n">
        <v>386.919448</v>
      </c>
      <c r="L144" t="n">
        <v>175.785032</v>
      </c>
      <c r="M144" t="n">
        <v>127.570396</v>
      </c>
      <c r="N144" t="n">
        <v>130.215588</v>
      </c>
      <c r="O144" t="n">
        <v>106.769568</v>
      </c>
      <c r="P144" t="n">
        <v>82.96284</v>
      </c>
      <c r="Q144" t="n">
        <v>84.64614400000001</v>
      </c>
      <c r="R144" t="n">
        <v>97.39116</v>
      </c>
      <c r="S144" t="n">
        <v>99.67564400000001</v>
      </c>
      <c r="T144" t="n">
        <v>99.916116</v>
      </c>
      <c r="U144" t="n">
        <v>113.983728</v>
      </c>
      <c r="V144" t="n">
        <v>126.728744</v>
      </c>
      <c r="W144" t="n">
        <v>182.638484</v>
      </c>
      <c r="X144" t="n">
        <v>9.258172</v>
      </c>
      <c r="Y144" t="n">
        <v>7.454632</v>
      </c>
      <c r="Z144" t="n">
        <v>6.853452</v>
      </c>
      <c r="AA144" t="n">
        <v>5.771328</v>
      </c>
      <c r="AB144" t="n">
        <v>4.328496</v>
      </c>
      <c r="AC144" t="n">
        <v>4.568968</v>
      </c>
      <c r="AD144" t="n">
        <v>5.049912</v>
      </c>
      <c r="AE144" t="n">
        <v>5.170148</v>
      </c>
      <c r="AF144" t="n">
        <v>5.41062</v>
      </c>
      <c r="AG144" t="n">
        <v>6.0118</v>
      </c>
      <c r="AH144" t="n">
        <v>6.853452</v>
      </c>
      <c r="AI144" t="n">
        <v>9.618880000000001</v>
      </c>
    </row>
    <row r="145">
      <c r="A145" t="n">
        <v>40</v>
      </c>
      <c r="B145" s="13" t="n">
        <v>45200</v>
      </c>
      <c r="C145" s="13" t="n">
        <v>45565</v>
      </c>
      <c r="D145" s="13" t="n">
        <v>45200</v>
      </c>
      <c r="E145" t="n">
        <v>0</v>
      </c>
      <c r="F145" s="13" t="n">
        <v>45565</v>
      </c>
      <c r="G145" t="n">
        <v>1263.77</v>
      </c>
      <c r="H145" t="n">
        <v>437.011666</v>
      </c>
      <c r="I145" t="n">
        <v>261.221259</v>
      </c>
      <c r="J145" t="n">
        <v>276.639253</v>
      </c>
      <c r="K145" t="n">
        <v>400.741467</v>
      </c>
      <c r="L145" t="n">
        <v>193.230433</v>
      </c>
      <c r="M145" t="n">
        <v>141.921371</v>
      </c>
      <c r="N145" t="n">
        <v>143.564272</v>
      </c>
      <c r="O145" t="n">
        <v>112.728284</v>
      </c>
      <c r="P145" t="n">
        <v>87.20013</v>
      </c>
      <c r="Q145" t="n">
        <v>85.55722900000001</v>
      </c>
      <c r="R145" t="n">
        <v>98.953191</v>
      </c>
      <c r="S145" t="n">
        <v>101.859862</v>
      </c>
      <c r="T145" t="n">
        <v>101.607108</v>
      </c>
      <c r="U145" t="n">
        <v>119.426265</v>
      </c>
      <c r="V145" t="n">
        <v>130.421064</v>
      </c>
      <c r="W145" t="n">
        <v>188.554484</v>
      </c>
      <c r="X145" t="n">
        <v>10.11016</v>
      </c>
      <c r="Y145" t="n">
        <v>7.961751</v>
      </c>
      <c r="Z145" t="n">
        <v>7.456243</v>
      </c>
      <c r="AA145" t="n">
        <v>6.066096</v>
      </c>
      <c r="AB145" t="n">
        <v>4.549572</v>
      </c>
      <c r="AC145" t="n">
        <v>4.675949</v>
      </c>
      <c r="AD145" t="n">
        <v>5.181457</v>
      </c>
      <c r="AE145" t="n">
        <v>5.307834</v>
      </c>
      <c r="AF145" t="n">
        <v>5.560588</v>
      </c>
      <c r="AG145" t="n">
        <v>6.31885</v>
      </c>
      <c r="AH145" t="n">
        <v>7.077112</v>
      </c>
      <c r="AI145" t="n">
        <v>9.857405999999999</v>
      </c>
    </row>
    <row r="146">
      <c r="A146" t="n">
        <v>40</v>
      </c>
      <c r="B146" s="13" t="n">
        <v>45566</v>
      </c>
      <c r="C146" s="13" t="n">
        <v>45930</v>
      </c>
      <c r="D146" s="13" t="n">
        <v>45566</v>
      </c>
      <c r="E146" t="n">
        <v>0</v>
      </c>
      <c r="F146" s="13" t="n">
        <v>45930</v>
      </c>
      <c r="G146" t="n">
        <v>1263.18</v>
      </c>
      <c r="H146" t="n">
        <v>427.207476</v>
      </c>
      <c r="I146" t="n">
        <v>259.078218</v>
      </c>
      <c r="J146" t="n">
        <v>284.84709</v>
      </c>
      <c r="K146" t="n">
        <v>401.312286</v>
      </c>
      <c r="L146" t="n">
        <v>188.340138</v>
      </c>
      <c r="M146" t="n">
        <v>135.286578</v>
      </c>
      <c r="N146" t="n">
        <v>144.63411</v>
      </c>
      <c r="O146" t="n">
        <v>111.665112</v>
      </c>
      <c r="P146" t="n">
        <v>86.65414800000001</v>
      </c>
      <c r="Q146" t="n">
        <v>84.759378</v>
      </c>
      <c r="R146" t="n">
        <v>103.201806</v>
      </c>
      <c r="S146" t="n">
        <v>105.47553</v>
      </c>
      <c r="T146" t="n">
        <v>102.696534</v>
      </c>
      <c r="U146" t="n">
        <v>120.63369</v>
      </c>
      <c r="V146" t="n">
        <v>131.623356</v>
      </c>
      <c r="W146" t="n">
        <v>187.076958</v>
      </c>
      <c r="X146" t="n">
        <v>9.852804000000001</v>
      </c>
      <c r="Y146" t="n">
        <v>7.831716</v>
      </c>
      <c r="Z146" t="n">
        <v>7.57908</v>
      </c>
      <c r="AA146" t="n">
        <v>6.063264</v>
      </c>
      <c r="AB146" t="n">
        <v>4.547448</v>
      </c>
      <c r="AC146" t="n">
        <v>4.547448</v>
      </c>
      <c r="AD146" t="n">
        <v>5.431674</v>
      </c>
      <c r="AE146" t="n">
        <v>5.557992</v>
      </c>
      <c r="AF146" t="n">
        <v>5.557992</v>
      </c>
      <c r="AG146" t="n">
        <v>6.3159</v>
      </c>
      <c r="AH146" t="n">
        <v>7.073808</v>
      </c>
      <c r="AI146" t="n">
        <v>9.852804000000001</v>
      </c>
    </row>
    <row r="147">
      <c r="A147" t="n">
        <v>40</v>
      </c>
      <c r="B147" s="13" t="n">
        <v>45931</v>
      </c>
      <c r="C147" s="13" t="n">
        <v>46295</v>
      </c>
      <c r="D147" s="13" t="n">
        <v>45931</v>
      </c>
      <c r="E147" t="n">
        <v>0</v>
      </c>
      <c r="F147" s="13" t="n">
        <v>46295</v>
      </c>
      <c r="G147" t="n">
        <v>1327.27</v>
      </c>
      <c r="H147" t="n">
        <v>446.759082</v>
      </c>
      <c r="I147" t="n">
        <v>271.559442</v>
      </c>
      <c r="J147" t="n">
        <v>296.379391</v>
      </c>
      <c r="K147" t="n">
        <v>428.177302</v>
      </c>
      <c r="L147" t="n">
        <v>194.843236</v>
      </c>
      <c r="M147" t="n">
        <v>137.637899</v>
      </c>
      <c r="N147" t="n">
        <v>150.645145</v>
      </c>
      <c r="O147" t="n">
        <v>115.207036</v>
      </c>
      <c r="P147" t="n">
        <v>92.112538</v>
      </c>
      <c r="Q147" t="n">
        <v>88.528909</v>
      </c>
      <c r="R147" t="n">
        <v>108.703413</v>
      </c>
      <c r="S147" t="n">
        <v>109.632502</v>
      </c>
      <c r="T147" t="n">
        <v>108.437959</v>
      </c>
      <c r="U147" t="n">
        <v>129.939733</v>
      </c>
      <c r="V147" t="n">
        <v>143.876068</v>
      </c>
      <c r="W147" t="n">
        <v>198.559592</v>
      </c>
      <c r="X147" t="n">
        <v>10.219979</v>
      </c>
      <c r="Y147" t="n">
        <v>7.96362</v>
      </c>
      <c r="Z147" t="n">
        <v>7.830893</v>
      </c>
      <c r="AA147" t="n">
        <v>6.238169</v>
      </c>
      <c r="AB147" t="n">
        <v>4.778172</v>
      </c>
      <c r="AC147" t="n">
        <v>4.778172</v>
      </c>
      <c r="AD147" t="n">
        <v>5.707261</v>
      </c>
      <c r="AE147" t="n">
        <v>5.707261</v>
      </c>
      <c r="AF147" t="n">
        <v>5.839988</v>
      </c>
      <c r="AG147" t="n">
        <v>6.769077</v>
      </c>
      <c r="AH147" t="n">
        <v>7.830893</v>
      </c>
      <c r="AI147" t="n">
        <v>10.352706</v>
      </c>
    </row>
    <row r="148">
      <c r="A148" t="n">
        <v>40</v>
      </c>
      <c r="B148" s="13" t="n">
        <v>46296</v>
      </c>
      <c r="C148" s="13" t="n">
        <v>2958465</v>
      </c>
      <c r="D148" s="13" t="n">
        <v>46296</v>
      </c>
      <c r="E148" t="n">
        <v>1</v>
      </c>
      <c r="G148" t="n">
        <v>1326.48</v>
      </c>
      <c r="H148" t="n">
        <v>443.309616</v>
      </c>
      <c r="I148" t="n">
        <v>271.795752</v>
      </c>
      <c r="J148" t="n">
        <v>293.284728</v>
      </c>
      <c r="K148" t="n">
        <v>433.626312</v>
      </c>
      <c r="L148" t="n">
        <v>190.747824</v>
      </c>
      <c r="M148" t="n">
        <v>139.413048</v>
      </c>
      <c r="N148" t="n">
        <v>148.831056</v>
      </c>
      <c r="O148" t="n">
        <v>113.41404</v>
      </c>
      <c r="P148" t="n">
        <v>94.445376</v>
      </c>
      <c r="Q148" t="n">
        <v>88.343568</v>
      </c>
      <c r="R148" t="n">
        <v>106.78164</v>
      </c>
      <c r="S148" t="n">
        <v>108.77136</v>
      </c>
      <c r="T148" t="n">
        <v>107.710176</v>
      </c>
      <c r="U148" t="n">
        <v>131.188872</v>
      </c>
      <c r="V148" t="n">
        <v>146.310744</v>
      </c>
      <c r="W148" t="n">
        <v>200.829072</v>
      </c>
      <c r="X148" t="n">
        <v>9.948600000000001</v>
      </c>
      <c r="Y148" t="n">
        <v>8.091528</v>
      </c>
      <c r="Z148" t="n">
        <v>7.826232</v>
      </c>
      <c r="AA148" t="n">
        <v>6.101808</v>
      </c>
      <c r="AB148" t="n">
        <v>4.907976</v>
      </c>
      <c r="AC148" t="n">
        <v>4.775328</v>
      </c>
      <c r="AD148" t="n">
        <v>5.571216</v>
      </c>
      <c r="AE148" t="n">
        <v>5.703864</v>
      </c>
      <c r="AF148" t="n">
        <v>5.836512</v>
      </c>
      <c r="AG148" t="n">
        <v>6.897696</v>
      </c>
      <c r="AH148" t="n">
        <v>7.95888</v>
      </c>
      <c r="AI148" t="n">
        <v>10.479192</v>
      </c>
    </row>
    <row r="149">
      <c r="A149" t="n">
        <v>41</v>
      </c>
      <c r="B149" s="13" t="n">
        <v>44835</v>
      </c>
      <c r="C149" s="13" t="n">
        <v>45199</v>
      </c>
      <c r="D149" s="13" t="n">
        <v>44835</v>
      </c>
      <c r="E149" t="n">
        <v>0</v>
      </c>
      <c r="F149" s="13" t="n">
        <v>45199</v>
      </c>
      <c r="G149" t="n">
        <v>1202.36</v>
      </c>
      <c r="H149" t="n">
        <v>395.937148</v>
      </c>
      <c r="I149" t="n">
        <v>251.173004</v>
      </c>
      <c r="J149" t="n">
        <v>271.73336</v>
      </c>
      <c r="K149" t="n">
        <v>386.919448</v>
      </c>
      <c r="L149" t="n">
        <v>175.785032</v>
      </c>
      <c r="M149" t="n">
        <v>127.570396</v>
      </c>
      <c r="N149" t="n">
        <v>130.215588</v>
      </c>
      <c r="O149" t="n">
        <v>106.769568</v>
      </c>
      <c r="P149" t="n">
        <v>82.96284</v>
      </c>
      <c r="Q149" t="n">
        <v>84.64614400000001</v>
      </c>
      <c r="R149" t="n">
        <v>97.39116</v>
      </c>
      <c r="S149" t="n">
        <v>99.67564400000001</v>
      </c>
      <c r="T149" t="n">
        <v>99.916116</v>
      </c>
      <c r="U149" t="n">
        <v>113.983728</v>
      </c>
      <c r="V149" t="n">
        <v>126.728744</v>
      </c>
      <c r="W149" t="n">
        <v>182.638484</v>
      </c>
      <c r="X149" t="n">
        <v>9.258172</v>
      </c>
      <c r="Y149" t="n">
        <v>7.454632</v>
      </c>
      <c r="Z149" t="n">
        <v>6.853452</v>
      </c>
      <c r="AA149" t="n">
        <v>5.771328</v>
      </c>
      <c r="AB149" t="n">
        <v>4.328496</v>
      </c>
      <c r="AC149" t="n">
        <v>4.568968</v>
      </c>
      <c r="AD149" t="n">
        <v>5.049912</v>
      </c>
      <c r="AE149" t="n">
        <v>5.170148</v>
      </c>
      <c r="AF149" t="n">
        <v>5.41062</v>
      </c>
      <c r="AG149" t="n">
        <v>6.0118</v>
      </c>
      <c r="AH149" t="n">
        <v>6.853452</v>
      </c>
      <c r="AI149" t="n">
        <v>9.618880000000001</v>
      </c>
    </row>
    <row r="150">
      <c r="A150" t="n">
        <v>41</v>
      </c>
      <c r="B150" s="13" t="n">
        <v>45200</v>
      </c>
      <c r="C150" s="13" t="n">
        <v>45565</v>
      </c>
      <c r="D150" s="13" t="n">
        <v>45200</v>
      </c>
      <c r="E150" t="n">
        <v>0</v>
      </c>
      <c r="F150" s="13" t="n">
        <v>45565</v>
      </c>
      <c r="G150" t="n">
        <v>1263.77</v>
      </c>
      <c r="H150" t="n">
        <v>437.011666</v>
      </c>
      <c r="I150" t="n">
        <v>261.221259</v>
      </c>
      <c r="J150" t="n">
        <v>276.639253</v>
      </c>
      <c r="K150" t="n">
        <v>400.741467</v>
      </c>
      <c r="L150" t="n">
        <v>193.230433</v>
      </c>
      <c r="M150" t="n">
        <v>141.921371</v>
      </c>
      <c r="N150" t="n">
        <v>143.564272</v>
      </c>
      <c r="O150" t="n">
        <v>112.728284</v>
      </c>
      <c r="P150" t="n">
        <v>87.20013</v>
      </c>
      <c r="Q150" t="n">
        <v>85.55722900000001</v>
      </c>
      <c r="R150" t="n">
        <v>98.953191</v>
      </c>
      <c r="S150" t="n">
        <v>101.859862</v>
      </c>
      <c r="T150" t="n">
        <v>101.607108</v>
      </c>
      <c r="U150" t="n">
        <v>119.426265</v>
      </c>
      <c r="V150" t="n">
        <v>130.421064</v>
      </c>
      <c r="W150" t="n">
        <v>188.554484</v>
      </c>
      <c r="X150" t="n">
        <v>10.11016</v>
      </c>
      <c r="Y150" t="n">
        <v>7.961751</v>
      </c>
      <c r="Z150" t="n">
        <v>7.456243</v>
      </c>
      <c r="AA150" t="n">
        <v>6.066096</v>
      </c>
      <c r="AB150" t="n">
        <v>4.549572</v>
      </c>
      <c r="AC150" t="n">
        <v>4.675949</v>
      </c>
      <c r="AD150" t="n">
        <v>5.181457</v>
      </c>
      <c r="AE150" t="n">
        <v>5.307834</v>
      </c>
      <c r="AF150" t="n">
        <v>5.560588</v>
      </c>
      <c r="AG150" t="n">
        <v>6.31885</v>
      </c>
      <c r="AH150" t="n">
        <v>7.077112</v>
      </c>
      <c r="AI150" t="n">
        <v>9.857405999999999</v>
      </c>
    </row>
    <row r="151">
      <c r="A151" t="n">
        <v>41</v>
      </c>
      <c r="B151" s="13" t="n">
        <v>45566</v>
      </c>
      <c r="C151" s="13" t="n">
        <v>45930</v>
      </c>
      <c r="D151" s="13" t="n">
        <v>45566</v>
      </c>
      <c r="E151" t="n">
        <v>0</v>
      </c>
      <c r="F151" s="13" t="n">
        <v>45930</v>
      </c>
      <c r="G151" t="n">
        <v>1263.18</v>
      </c>
      <c r="H151" t="n">
        <v>427.207476</v>
      </c>
      <c r="I151" t="n">
        <v>259.078218</v>
      </c>
      <c r="J151" t="n">
        <v>284.84709</v>
      </c>
      <c r="K151" t="n">
        <v>401.312286</v>
      </c>
      <c r="L151" t="n">
        <v>188.340138</v>
      </c>
      <c r="M151" t="n">
        <v>135.286578</v>
      </c>
      <c r="N151" t="n">
        <v>144.63411</v>
      </c>
      <c r="O151" t="n">
        <v>111.665112</v>
      </c>
      <c r="P151" t="n">
        <v>86.65414800000001</v>
      </c>
      <c r="Q151" t="n">
        <v>84.759378</v>
      </c>
      <c r="R151" t="n">
        <v>103.201806</v>
      </c>
      <c r="S151" t="n">
        <v>105.47553</v>
      </c>
      <c r="T151" t="n">
        <v>102.696534</v>
      </c>
      <c r="U151" t="n">
        <v>120.63369</v>
      </c>
      <c r="V151" t="n">
        <v>131.623356</v>
      </c>
      <c r="W151" t="n">
        <v>187.076958</v>
      </c>
      <c r="X151" t="n">
        <v>9.852804000000001</v>
      </c>
      <c r="Y151" t="n">
        <v>7.831716</v>
      </c>
      <c r="Z151" t="n">
        <v>7.57908</v>
      </c>
      <c r="AA151" t="n">
        <v>6.063264</v>
      </c>
      <c r="AB151" t="n">
        <v>4.547448</v>
      </c>
      <c r="AC151" t="n">
        <v>4.547448</v>
      </c>
      <c r="AD151" t="n">
        <v>5.431674</v>
      </c>
      <c r="AE151" t="n">
        <v>5.557992</v>
      </c>
      <c r="AF151" t="n">
        <v>5.557992</v>
      </c>
      <c r="AG151" t="n">
        <v>6.3159</v>
      </c>
      <c r="AH151" t="n">
        <v>7.073808</v>
      </c>
      <c r="AI151" t="n">
        <v>9.852804000000001</v>
      </c>
    </row>
    <row r="152">
      <c r="A152" t="n">
        <v>41</v>
      </c>
      <c r="B152" s="13" t="n">
        <v>45931</v>
      </c>
      <c r="C152" s="13" t="n">
        <v>46295</v>
      </c>
      <c r="D152" s="13" t="n">
        <v>45931</v>
      </c>
      <c r="E152" t="n">
        <v>0</v>
      </c>
      <c r="F152" s="13" t="n">
        <v>46295</v>
      </c>
      <c r="G152" t="n">
        <v>1327.27</v>
      </c>
      <c r="H152" t="n">
        <v>446.759082</v>
      </c>
      <c r="I152" t="n">
        <v>271.559442</v>
      </c>
      <c r="J152" t="n">
        <v>296.379391</v>
      </c>
      <c r="K152" t="n">
        <v>428.177302</v>
      </c>
      <c r="L152" t="n">
        <v>194.843236</v>
      </c>
      <c r="M152" t="n">
        <v>137.637899</v>
      </c>
      <c r="N152" t="n">
        <v>150.645145</v>
      </c>
      <c r="O152" t="n">
        <v>115.207036</v>
      </c>
      <c r="P152" t="n">
        <v>92.112538</v>
      </c>
      <c r="Q152" t="n">
        <v>88.528909</v>
      </c>
      <c r="R152" t="n">
        <v>108.703413</v>
      </c>
      <c r="S152" t="n">
        <v>109.632502</v>
      </c>
      <c r="T152" t="n">
        <v>108.437959</v>
      </c>
      <c r="U152" t="n">
        <v>129.939733</v>
      </c>
      <c r="V152" t="n">
        <v>143.876068</v>
      </c>
      <c r="W152" t="n">
        <v>198.559592</v>
      </c>
      <c r="X152" t="n">
        <v>10.219979</v>
      </c>
      <c r="Y152" t="n">
        <v>7.96362</v>
      </c>
      <c r="Z152" t="n">
        <v>7.830893</v>
      </c>
      <c r="AA152" t="n">
        <v>6.238169</v>
      </c>
      <c r="AB152" t="n">
        <v>4.778172</v>
      </c>
      <c r="AC152" t="n">
        <v>4.778172</v>
      </c>
      <c r="AD152" t="n">
        <v>5.707261</v>
      </c>
      <c r="AE152" t="n">
        <v>5.707261</v>
      </c>
      <c r="AF152" t="n">
        <v>5.839988</v>
      </c>
      <c r="AG152" t="n">
        <v>6.769077</v>
      </c>
      <c r="AH152" t="n">
        <v>7.830893</v>
      </c>
      <c r="AI152" t="n">
        <v>10.352706</v>
      </c>
    </row>
    <row r="153">
      <c r="A153" t="n">
        <v>41</v>
      </c>
      <c r="B153" s="13" t="n">
        <v>46296</v>
      </c>
      <c r="C153" s="13" t="n">
        <v>2958465</v>
      </c>
      <c r="D153" s="13" t="n">
        <v>46296</v>
      </c>
      <c r="E153" t="n">
        <v>1</v>
      </c>
      <c r="G153" t="n">
        <v>1326.48</v>
      </c>
      <c r="H153" t="n">
        <v>443.309616</v>
      </c>
      <c r="I153" t="n">
        <v>271.795752</v>
      </c>
      <c r="J153" t="n">
        <v>293.284728</v>
      </c>
      <c r="K153" t="n">
        <v>433.626312</v>
      </c>
      <c r="L153" t="n">
        <v>190.747824</v>
      </c>
      <c r="M153" t="n">
        <v>139.413048</v>
      </c>
      <c r="N153" t="n">
        <v>148.831056</v>
      </c>
      <c r="O153" t="n">
        <v>113.41404</v>
      </c>
      <c r="P153" t="n">
        <v>94.445376</v>
      </c>
      <c r="Q153" t="n">
        <v>88.343568</v>
      </c>
      <c r="R153" t="n">
        <v>106.78164</v>
      </c>
      <c r="S153" t="n">
        <v>108.77136</v>
      </c>
      <c r="T153" t="n">
        <v>107.710176</v>
      </c>
      <c r="U153" t="n">
        <v>131.188872</v>
      </c>
      <c r="V153" t="n">
        <v>146.310744</v>
      </c>
      <c r="W153" t="n">
        <v>200.829072</v>
      </c>
      <c r="X153" t="n">
        <v>9.948600000000001</v>
      </c>
      <c r="Y153" t="n">
        <v>8.091528</v>
      </c>
      <c r="Z153" t="n">
        <v>7.826232</v>
      </c>
      <c r="AA153" t="n">
        <v>6.101808</v>
      </c>
      <c r="AB153" t="n">
        <v>4.907976</v>
      </c>
      <c r="AC153" t="n">
        <v>4.775328</v>
      </c>
      <c r="AD153" t="n">
        <v>5.571216</v>
      </c>
      <c r="AE153" t="n">
        <v>5.703864</v>
      </c>
      <c r="AF153" t="n">
        <v>5.836512</v>
      </c>
      <c r="AG153" t="n">
        <v>6.897696</v>
      </c>
      <c r="AH153" t="n">
        <v>7.95888</v>
      </c>
      <c r="AI153" t="n">
        <v>10.479192</v>
      </c>
    </row>
    <row r="154">
      <c r="A154" t="n">
        <v>42</v>
      </c>
      <c r="B154" s="13" t="n">
        <v>44470</v>
      </c>
      <c r="C154" s="13" t="n">
        <v>45565</v>
      </c>
      <c r="D154" s="13" t="n">
        <v>44470</v>
      </c>
      <c r="E154" t="n">
        <v>0</v>
      </c>
      <c r="F154" s="13" t="n">
        <v>45565</v>
      </c>
      <c r="G154" t="n">
        <v>887.96</v>
      </c>
      <c r="H154" t="n">
        <v>279.97</v>
      </c>
      <c r="I154" t="n">
        <v>180.7</v>
      </c>
      <c r="J154" t="n">
        <v>214.53</v>
      </c>
      <c r="K154" t="n">
        <v>288.05</v>
      </c>
      <c r="L154" t="n">
        <v>128.58</v>
      </c>
      <c r="M154" t="n">
        <v>88.53</v>
      </c>
      <c r="N154" t="n">
        <v>89.86</v>
      </c>
      <c r="O154" t="n">
        <v>74.86</v>
      </c>
      <c r="P154" t="n">
        <v>59.14</v>
      </c>
      <c r="Q154" t="n">
        <v>63.4</v>
      </c>
      <c r="R154" t="n">
        <v>76.09999999999999</v>
      </c>
      <c r="S154" t="n">
        <v>78.67</v>
      </c>
      <c r="T154" t="n">
        <v>79.65000000000001</v>
      </c>
      <c r="U154" t="n">
        <v>86.04000000000001</v>
      </c>
      <c r="V154" t="n">
        <v>94.56999999999999</v>
      </c>
      <c r="W154" t="n">
        <v>134.61</v>
      </c>
      <c r="X154" t="n">
        <v>6.75</v>
      </c>
      <c r="Y154" t="n">
        <v>5.15</v>
      </c>
      <c r="Z154" t="n">
        <v>4.71</v>
      </c>
      <c r="AA154" t="n">
        <v>4.08</v>
      </c>
      <c r="AB154" t="n">
        <v>3.11</v>
      </c>
      <c r="AC154" t="n">
        <v>3.46</v>
      </c>
      <c r="AD154" t="n">
        <v>4</v>
      </c>
      <c r="AE154" t="n">
        <v>4.08</v>
      </c>
      <c r="AF154" t="n">
        <v>4.35</v>
      </c>
      <c r="AG154" t="n">
        <v>4.53</v>
      </c>
      <c r="AH154" t="n">
        <v>5.15</v>
      </c>
      <c r="AI154" t="n">
        <v>7.01</v>
      </c>
    </row>
    <row r="155">
      <c r="A155" t="n">
        <v>42</v>
      </c>
      <c r="B155" s="13" t="n">
        <v>45566</v>
      </c>
      <c r="C155" s="13" t="n">
        <v>45930</v>
      </c>
      <c r="D155" s="13" t="n">
        <v>45566</v>
      </c>
      <c r="E155" t="n">
        <v>0</v>
      </c>
      <c r="F155" s="13" t="n">
        <v>45930</v>
      </c>
      <c r="G155" t="n">
        <v>1263.18</v>
      </c>
      <c r="H155" t="n">
        <v>427.207476</v>
      </c>
      <c r="I155" t="n">
        <v>259.078218</v>
      </c>
      <c r="J155" t="n">
        <v>284.84709</v>
      </c>
      <c r="K155" t="n">
        <v>401.312286</v>
      </c>
      <c r="L155" t="n">
        <v>188.340138</v>
      </c>
      <c r="M155" t="n">
        <v>135.286578</v>
      </c>
      <c r="N155" t="n">
        <v>144.63411</v>
      </c>
      <c r="O155" t="n">
        <v>111.665112</v>
      </c>
      <c r="P155" t="n">
        <v>86.65414800000001</v>
      </c>
      <c r="Q155" t="n">
        <v>84.759378</v>
      </c>
      <c r="R155" t="n">
        <v>103.201806</v>
      </c>
      <c r="S155" t="n">
        <v>105.47553</v>
      </c>
      <c r="T155" t="n">
        <v>102.696534</v>
      </c>
      <c r="U155" t="n">
        <v>120.63369</v>
      </c>
      <c r="V155" t="n">
        <v>131.623356</v>
      </c>
      <c r="W155" t="n">
        <v>187.076958</v>
      </c>
      <c r="X155" t="n">
        <v>9.852804000000001</v>
      </c>
      <c r="Y155" t="n">
        <v>7.831716</v>
      </c>
      <c r="Z155" t="n">
        <v>7.57908</v>
      </c>
      <c r="AA155" t="n">
        <v>6.063264</v>
      </c>
      <c r="AB155" t="n">
        <v>4.547448</v>
      </c>
      <c r="AC155" t="n">
        <v>4.547448</v>
      </c>
      <c r="AD155" t="n">
        <v>5.431674</v>
      </c>
      <c r="AE155" t="n">
        <v>5.557992</v>
      </c>
      <c r="AF155" t="n">
        <v>5.557992</v>
      </c>
      <c r="AG155" t="n">
        <v>6.3159</v>
      </c>
      <c r="AH155" t="n">
        <v>7.073808</v>
      </c>
      <c r="AI155" t="n">
        <v>9.852804000000001</v>
      </c>
    </row>
    <row r="156">
      <c r="A156" t="n">
        <v>42</v>
      </c>
      <c r="B156" s="13" t="n">
        <v>45931</v>
      </c>
      <c r="C156" s="13" t="n">
        <v>46295</v>
      </c>
      <c r="D156" s="13" t="n">
        <v>45931</v>
      </c>
      <c r="E156" t="n">
        <v>0</v>
      </c>
      <c r="F156" s="13" t="n">
        <v>46295</v>
      </c>
      <c r="G156" t="n">
        <v>1327.27</v>
      </c>
      <c r="H156" t="n">
        <v>446.759082</v>
      </c>
      <c r="I156" t="n">
        <v>271.559442</v>
      </c>
      <c r="J156" t="n">
        <v>296.379391</v>
      </c>
      <c r="K156" t="n">
        <v>428.177302</v>
      </c>
      <c r="L156" t="n">
        <v>194.843236</v>
      </c>
      <c r="M156" t="n">
        <v>137.637899</v>
      </c>
      <c r="N156" t="n">
        <v>150.645145</v>
      </c>
      <c r="O156" t="n">
        <v>115.207036</v>
      </c>
      <c r="P156" t="n">
        <v>92.112538</v>
      </c>
      <c r="Q156" t="n">
        <v>88.528909</v>
      </c>
      <c r="R156" t="n">
        <v>108.703413</v>
      </c>
      <c r="S156" t="n">
        <v>109.632502</v>
      </c>
      <c r="T156" t="n">
        <v>108.437959</v>
      </c>
      <c r="U156" t="n">
        <v>129.939733</v>
      </c>
      <c r="V156" t="n">
        <v>143.876068</v>
      </c>
      <c r="W156" t="n">
        <v>198.559592</v>
      </c>
      <c r="X156" t="n">
        <v>10.219979</v>
      </c>
      <c r="Y156" t="n">
        <v>7.96362</v>
      </c>
      <c r="Z156" t="n">
        <v>7.830893</v>
      </c>
      <c r="AA156" t="n">
        <v>6.238169</v>
      </c>
      <c r="AB156" t="n">
        <v>4.778172</v>
      </c>
      <c r="AC156" t="n">
        <v>4.778172</v>
      </c>
      <c r="AD156" t="n">
        <v>5.707261</v>
      </c>
      <c r="AE156" t="n">
        <v>5.707261</v>
      </c>
      <c r="AF156" t="n">
        <v>5.839988</v>
      </c>
      <c r="AG156" t="n">
        <v>6.769077</v>
      </c>
      <c r="AH156" t="n">
        <v>7.830893</v>
      </c>
      <c r="AI156" t="n">
        <v>10.352706</v>
      </c>
    </row>
    <row r="157">
      <c r="A157" t="n">
        <v>42</v>
      </c>
      <c r="B157" s="13" t="n">
        <v>46296</v>
      </c>
      <c r="C157" s="13" t="n">
        <v>2958465</v>
      </c>
      <c r="D157" s="13" t="n">
        <v>46296</v>
      </c>
      <c r="E157" t="n">
        <v>1</v>
      </c>
      <c r="G157" t="n">
        <v>1326.48</v>
      </c>
      <c r="H157" t="n">
        <v>443.309616</v>
      </c>
      <c r="I157" t="n">
        <v>271.795752</v>
      </c>
      <c r="J157" t="n">
        <v>293.284728</v>
      </c>
      <c r="K157" t="n">
        <v>433.626312</v>
      </c>
      <c r="L157" t="n">
        <v>190.747824</v>
      </c>
      <c r="M157" t="n">
        <v>139.413048</v>
      </c>
      <c r="N157" t="n">
        <v>148.831056</v>
      </c>
      <c r="O157" t="n">
        <v>113.41404</v>
      </c>
      <c r="P157" t="n">
        <v>94.445376</v>
      </c>
      <c r="Q157" t="n">
        <v>88.343568</v>
      </c>
      <c r="R157" t="n">
        <v>106.78164</v>
      </c>
      <c r="S157" t="n">
        <v>108.77136</v>
      </c>
      <c r="T157" t="n">
        <v>107.710176</v>
      </c>
      <c r="U157" t="n">
        <v>131.188872</v>
      </c>
      <c r="V157" t="n">
        <v>146.310744</v>
      </c>
      <c r="W157" t="n">
        <v>200.829072</v>
      </c>
      <c r="X157" t="n">
        <v>9.948600000000001</v>
      </c>
      <c r="Y157" t="n">
        <v>8.091528</v>
      </c>
      <c r="Z157" t="n">
        <v>7.826232</v>
      </c>
      <c r="AA157" t="n">
        <v>6.101808</v>
      </c>
      <c r="AB157" t="n">
        <v>4.907976</v>
      </c>
      <c r="AC157" t="n">
        <v>4.775328</v>
      </c>
      <c r="AD157" t="n">
        <v>5.571216</v>
      </c>
      <c r="AE157" t="n">
        <v>5.703864</v>
      </c>
      <c r="AF157" t="n">
        <v>5.836512</v>
      </c>
      <c r="AG157" t="n">
        <v>6.897696</v>
      </c>
      <c r="AH157" t="n">
        <v>7.95888</v>
      </c>
      <c r="AI157" t="n">
        <v>10.479192</v>
      </c>
    </row>
    <row r="158">
      <c r="A158" t="n">
        <v>43</v>
      </c>
      <c r="B158" s="13" t="n">
        <v>44835</v>
      </c>
      <c r="C158" s="13" t="n">
        <v>45199</v>
      </c>
      <c r="D158" s="13" t="n">
        <v>44835</v>
      </c>
      <c r="E158" t="n">
        <v>0</v>
      </c>
      <c r="F158" s="13" t="n">
        <v>45199</v>
      </c>
      <c r="G158" t="n">
        <v>1202.36</v>
      </c>
      <c r="H158" t="n">
        <v>395.937148</v>
      </c>
      <c r="I158" t="n">
        <v>251.173004</v>
      </c>
      <c r="J158" t="n">
        <v>271.73336</v>
      </c>
      <c r="K158" t="n">
        <v>386.919448</v>
      </c>
      <c r="L158" t="n">
        <v>175.785032</v>
      </c>
      <c r="M158" t="n">
        <v>127.570396</v>
      </c>
      <c r="N158" t="n">
        <v>130.215588</v>
      </c>
      <c r="O158" t="n">
        <v>106.769568</v>
      </c>
      <c r="P158" t="n">
        <v>82.96284</v>
      </c>
      <c r="Q158" t="n">
        <v>84.64614400000001</v>
      </c>
      <c r="R158" t="n">
        <v>97.39116</v>
      </c>
      <c r="S158" t="n">
        <v>99.67564400000001</v>
      </c>
      <c r="T158" t="n">
        <v>99.916116</v>
      </c>
      <c r="U158" t="n">
        <v>113.983728</v>
      </c>
      <c r="V158" t="n">
        <v>126.728744</v>
      </c>
      <c r="W158" t="n">
        <v>182.638484</v>
      </c>
      <c r="X158" t="n">
        <v>9.258172</v>
      </c>
      <c r="Y158" t="n">
        <v>7.454632</v>
      </c>
      <c r="Z158" t="n">
        <v>6.853452</v>
      </c>
      <c r="AA158" t="n">
        <v>5.771328</v>
      </c>
      <c r="AB158" t="n">
        <v>4.328496</v>
      </c>
      <c r="AC158" t="n">
        <v>4.568968</v>
      </c>
      <c r="AD158" t="n">
        <v>5.049912</v>
      </c>
      <c r="AE158" t="n">
        <v>5.170148</v>
      </c>
      <c r="AF158" t="n">
        <v>5.41062</v>
      </c>
      <c r="AG158" t="n">
        <v>6.0118</v>
      </c>
      <c r="AH158" t="n">
        <v>6.853452</v>
      </c>
      <c r="AI158" t="n">
        <v>9.618880000000001</v>
      </c>
    </row>
    <row r="159">
      <c r="A159" t="n">
        <v>43</v>
      </c>
      <c r="B159" s="13" t="n">
        <v>45200</v>
      </c>
      <c r="C159" s="13" t="n">
        <v>45565</v>
      </c>
      <c r="D159" s="13" t="n">
        <v>45200</v>
      </c>
      <c r="E159" t="n">
        <v>0</v>
      </c>
      <c r="F159" s="13" t="n">
        <v>45565</v>
      </c>
      <c r="G159" t="n">
        <v>1263.77</v>
      </c>
      <c r="H159" t="n">
        <v>437.011666</v>
      </c>
      <c r="I159" t="n">
        <v>261.221259</v>
      </c>
      <c r="J159" t="n">
        <v>276.639253</v>
      </c>
      <c r="K159" t="n">
        <v>400.741467</v>
      </c>
      <c r="L159" t="n">
        <v>193.230433</v>
      </c>
      <c r="M159" t="n">
        <v>141.921371</v>
      </c>
      <c r="N159" t="n">
        <v>143.564272</v>
      </c>
      <c r="O159" t="n">
        <v>112.728284</v>
      </c>
      <c r="P159" t="n">
        <v>87.20013</v>
      </c>
      <c r="Q159" t="n">
        <v>85.55722900000001</v>
      </c>
      <c r="R159" t="n">
        <v>98.953191</v>
      </c>
      <c r="S159" t="n">
        <v>101.859862</v>
      </c>
      <c r="T159" t="n">
        <v>101.607108</v>
      </c>
      <c r="U159" t="n">
        <v>119.426265</v>
      </c>
      <c r="V159" t="n">
        <v>130.421064</v>
      </c>
      <c r="W159" t="n">
        <v>188.554484</v>
      </c>
      <c r="X159" t="n">
        <v>10.11016</v>
      </c>
      <c r="Y159" t="n">
        <v>7.961751</v>
      </c>
      <c r="Z159" t="n">
        <v>7.456243</v>
      </c>
      <c r="AA159" t="n">
        <v>6.066096</v>
      </c>
      <c r="AB159" t="n">
        <v>4.549572</v>
      </c>
      <c r="AC159" t="n">
        <v>4.675949</v>
      </c>
      <c r="AD159" t="n">
        <v>5.181457</v>
      </c>
      <c r="AE159" t="n">
        <v>5.307834</v>
      </c>
      <c r="AF159" t="n">
        <v>5.560588</v>
      </c>
      <c r="AG159" t="n">
        <v>6.31885</v>
      </c>
      <c r="AH159" t="n">
        <v>7.077112</v>
      </c>
      <c r="AI159" t="n">
        <v>9.857405999999999</v>
      </c>
    </row>
    <row r="160">
      <c r="A160" t="n">
        <v>43</v>
      </c>
      <c r="B160" s="13" t="n">
        <v>45566</v>
      </c>
      <c r="C160" s="13" t="n">
        <v>45930</v>
      </c>
      <c r="D160" s="13" t="n">
        <v>45566</v>
      </c>
      <c r="E160" t="n">
        <v>0</v>
      </c>
      <c r="F160" s="13" t="n">
        <v>45930</v>
      </c>
      <c r="G160" t="n">
        <v>1263.18</v>
      </c>
      <c r="H160" t="n">
        <v>427.207476</v>
      </c>
      <c r="I160" t="n">
        <v>259.078218</v>
      </c>
      <c r="J160" t="n">
        <v>284.84709</v>
      </c>
      <c r="K160" t="n">
        <v>401.312286</v>
      </c>
      <c r="L160" t="n">
        <v>188.340138</v>
      </c>
      <c r="M160" t="n">
        <v>135.286578</v>
      </c>
      <c r="N160" t="n">
        <v>144.63411</v>
      </c>
      <c r="O160" t="n">
        <v>111.665112</v>
      </c>
      <c r="P160" t="n">
        <v>86.65414800000001</v>
      </c>
      <c r="Q160" t="n">
        <v>84.759378</v>
      </c>
      <c r="R160" t="n">
        <v>103.201806</v>
      </c>
      <c r="S160" t="n">
        <v>105.47553</v>
      </c>
      <c r="T160" t="n">
        <v>102.696534</v>
      </c>
      <c r="U160" t="n">
        <v>120.63369</v>
      </c>
      <c r="V160" t="n">
        <v>131.623356</v>
      </c>
      <c r="W160" t="n">
        <v>187.076958</v>
      </c>
      <c r="X160" t="n">
        <v>9.852804000000001</v>
      </c>
      <c r="Y160" t="n">
        <v>7.831716</v>
      </c>
      <c r="Z160" t="n">
        <v>7.57908</v>
      </c>
      <c r="AA160" t="n">
        <v>6.063264</v>
      </c>
      <c r="AB160" t="n">
        <v>4.547448</v>
      </c>
      <c r="AC160" t="n">
        <v>4.547448</v>
      </c>
      <c r="AD160" t="n">
        <v>5.431674</v>
      </c>
      <c r="AE160" t="n">
        <v>5.557992</v>
      </c>
      <c r="AF160" t="n">
        <v>5.557992</v>
      </c>
      <c r="AG160" t="n">
        <v>6.3159</v>
      </c>
      <c r="AH160" t="n">
        <v>7.073808</v>
      </c>
      <c r="AI160" t="n">
        <v>9.852804000000001</v>
      </c>
    </row>
    <row r="161">
      <c r="A161" t="n">
        <v>43</v>
      </c>
      <c r="B161" s="13" t="n">
        <v>45931</v>
      </c>
      <c r="C161" s="13" t="n">
        <v>46295</v>
      </c>
      <c r="D161" s="13" t="n">
        <v>45931</v>
      </c>
      <c r="E161" t="n">
        <v>0</v>
      </c>
      <c r="F161" s="13" t="n">
        <v>46295</v>
      </c>
      <c r="G161" t="n">
        <v>1327.27</v>
      </c>
      <c r="H161" t="n">
        <v>446.759082</v>
      </c>
      <c r="I161" t="n">
        <v>271.559442</v>
      </c>
      <c r="J161" t="n">
        <v>296.379391</v>
      </c>
      <c r="K161" t="n">
        <v>428.177302</v>
      </c>
      <c r="L161" t="n">
        <v>194.843236</v>
      </c>
      <c r="M161" t="n">
        <v>137.637899</v>
      </c>
      <c r="N161" t="n">
        <v>150.645145</v>
      </c>
      <c r="O161" t="n">
        <v>115.207036</v>
      </c>
      <c r="P161" t="n">
        <v>92.112538</v>
      </c>
      <c r="Q161" t="n">
        <v>88.528909</v>
      </c>
      <c r="R161" t="n">
        <v>108.703413</v>
      </c>
      <c r="S161" t="n">
        <v>109.632502</v>
      </c>
      <c r="T161" t="n">
        <v>108.437959</v>
      </c>
      <c r="U161" t="n">
        <v>129.939733</v>
      </c>
      <c r="V161" t="n">
        <v>143.876068</v>
      </c>
      <c r="W161" t="n">
        <v>198.559592</v>
      </c>
      <c r="X161" t="n">
        <v>10.219979</v>
      </c>
      <c r="Y161" t="n">
        <v>7.96362</v>
      </c>
      <c r="Z161" t="n">
        <v>7.830893</v>
      </c>
      <c r="AA161" t="n">
        <v>6.238169</v>
      </c>
      <c r="AB161" t="n">
        <v>4.778172</v>
      </c>
      <c r="AC161" t="n">
        <v>4.778172</v>
      </c>
      <c r="AD161" t="n">
        <v>5.707261</v>
      </c>
      <c r="AE161" t="n">
        <v>5.707261</v>
      </c>
      <c r="AF161" t="n">
        <v>5.839988</v>
      </c>
      <c r="AG161" t="n">
        <v>6.769077</v>
      </c>
      <c r="AH161" t="n">
        <v>7.830893</v>
      </c>
      <c r="AI161" t="n">
        <v>10.352706</v>
      </c>
    </row>
    <row r="162">
      <c r="A162" t="n">
        <v>43</v>
      </c>
      <c r="B162" s="13" t="n">
        <v>46296</v>
      </c>
      <c r="C162" s="13" t="n">
        <v>2958465</v>
      </c>
      <c r="D162" s="13" t="n">
        <v>46296</v>
      </c>
      <c r="E162" t="n">
        <v>1</v>
      </c>
      <c r="G162" t="n">
        <v>1326.48</v>
      </c>
      <c r="H162" t="n">
        <v>443.309616</v>
      </c>
      <c r="I162" t="n">
        <v>271.795752</v>
      </c>
      <c r="J162" t="n">
        <v>293.284728</v>
      </c>
      <c r="K162" t="n">
        <v>433.626312</v>
      </c>
      <c r="L162" t="n">
        <v>190.747824</v>
      </c>
      <c r="M162" t="n">
        <v>139.413048</v>
      </c>
      <c r="N162" t="n">
        <v>148.831056</v>
      </c>
      <c r="O162" t="n">
        <v>113.41404</v>
      </c>
      <c r="P162" t="n">
        <v>94.445376</v>
      </c>
      <c r="Q162" t="n">
        <v>88.343568</v>
      </c>
      <c r="R162" t="n">
        <v>106.78164</v>
      </c>
      <c r="S162" t="n">
        <v>108.77136</v>
      </c>
      <c r="T162" t="n">
        <v>107.710176</v>
      </c>
      <c r="U162" t="n">
        <v>131.188872</v>
      </c>
      <c r="V162" t="n">
        <v>146.310744</v>
      </c>
      <c r="W162" t="n">
        <v>200.829072</v>
      </c>
      <c r="X162" t="n">
        <v>9.948600000000001</v>
      </c>
      <c r="Y162" t="n">
        <v>8.091528</v>
      </c>
      <c r="Z162" t="n">
        <v>7.826232</v>
      </c>
      <c r="AA162" t="n">
        <v>6.101808</v>
      </c>
      <c r="AB162" t="n">
        <v>4.907976</v>
      </c>
      <c r="AC162" t="n">
        <v>4.775328</v>
      </c>
      <c r="AD162" t="n">
        <v>5.571216</v>
      </c>
      <c r="AE162" t="n">
        <v>5.703864</v>
      </c>
      <c r="AF162" t="n">
        <v>5.836512</v>
      </c>
      <c r="AG162" t="n">
        <v>6.897696</v>
      </c>
      <c r="AH162" t="n">
        <v>7.95888</v>
      </c>
      <c r="AI162" t="n">
        <v>10.479192</v>
      </c>
    </row>
    <row r="163">
      <c r="A163" t="n">
        <v>44</v>
      </c>
      <c r="B163" s="13" t="n">
        <v>44835</v>
      </c>
      <c r="C163" s="13" t="n">
        <v>45199</v>
      </c>
      <c r="D163" s="13" t="n">
        <v>44835</v>
      </c>
      <c r="E163" t="n">
        <v>0</v>
      </c>
      <c r="F163" s="13" t="n">
        <v>45199</v>
      </c>
      <c r="G163" t="n">
        <v>1202.36</v>
      </c>
      <c r="H163" t="n">
        <v>395.937148</v>
      </c>
      <c r="I163" t="n">
        <v>251.173004</v>
      </c>
      <c r="J163" t="n">
        <v>271.73336</v>
      </c>
      <c r="K163" t="n">
        <v>386.919448</v>
      </c>
      <c r="L163" t="n">
        <v>175.785032</v>
      </c>
      <c r="M163" t="n">
        <v>127.570396</v>
      </c>
      <c r="N163" t="n">
        <v>130.215588</v>
      </c>
      <c r="O163" t="n">
        <v>106.769568</v>
      </c>
      <c r="P163" t="n">
        <v>82.96284</v>
      </c>
      <c r="Q163" t="n">
        <v>84.64614400000001</v>
      </c>
      <c r="R163" t="n">
        <v>97.39116</v>
      </c>
      <c r="S163" t="n">
        <v>99.67564400000001</v>
      </c>
      <c r="T163" t="n">
        <v>99.916116</v>
      </c>
      <c r="U163" t="n">
        <v>113.983728</v>
      </c>
      <c r="V163" t="n">
        <v>126.728744</v>
      </c>
      <c r="W163" t="n">
        <v>182.638484</v>
      </c>
      <c r="X163" t="n">
        <v>9.258172</v>
      </c>
      <c r="Y163" t="n">
        <v>7.454632</v>
      </c>
      <c r="Z163" t="n">
        <v>6.853452</v>
      </c>
      <c r="AA163" t="n">
        <v>5.771328</v>
      </c>
      <c r="AB163" t="n">
        <v>4.328496</v>
      </c>
      <c r="AC163" t="n">
        <v>4.568968</v>
      </c>
      <c r="AD163" t="n">
        <v>5.049912</v>
      </c>
      <c r="AE163" t="n">
        <v>5.170148</v>
      </c>
      <c r="AF163" t="n">
        <v>5.41062</v>
      </c>
      <c r="AG163" t="n">
        <v>6.0118</v>
      </c>
      <c r="AH163" t="n">
        <v>6.853452</v>
      </c>
      <c r="AI163" t="n">
        <v>9.618880000000001</v>
      </c>
    </row>
    <row r="164">
      <c r="A164" t="n">
        <v>44</v>
      </c>
      <c r="B164" s="13" t="n">
        <v>45200</v>
      </c>
      <c r="C164" s="13" t="n">
        <v>45565</v>
      </c>
      <c r="D164" s="13" t="n">
        <v>45200</v>
      </c>
      <c r="E164" t="n">
        <v>0</v>
      </c>
      <c r="F164" s="13" t="n">
        <v>45565</v>
      </c>
      <c r="G164" t="n">
        <v>1263.77</v>
      </c>
      <c r="H164" t="n">
        <v>437.011666</v>
      </c>
      <c r="I164" t="n">
        <v>261.221259</v>
      </c>
      <c r="J164" t="n">
        <v>276.639253</v>
      </c>
      <c r="K164" t="n">
        <v>400.741467</v>
      </c>
      <c r="L164" t="n">
        <v>193.230433</v>
      </c>
      <c r="M164" t="n">
        <v>141.921371</v>
      </c>
      <c r="N164" t="n">
        <v>143.564272</v>
      </c>
      <c r="O164" t="n">
        <v>112.728284</v>
      </c>
      <c r="P164" t="n">
        <v>87.20013</v>
      </c>
      <c r="Q164" t="n">
        <v>85.55722900000001</v>
      </c>
      <c r="R164" t="n">
        <v>98.953191</v>
      </c>
      <c r="S164" t="n">
        <v>101.859862</v>
      </c>
      <c r="T164" t="n">
        <v>101.607108</v>
      </c>
      <c r="U164" t="n">
        <v>119.426265</v>
      </c>
      <c r="V164" t="n">
        <v>130.421064</v>
      </c>
      <c r="W164" t="n">
        <v>188.554484</v>
      </c>
      <c r="X164" t="n">
        <v>10.11016</v>
      </c>
      <c r="Y164" t="n">
        <v>7.961751</v>
      </c>
      <c r="Z164" t="n">
        <v>7.456243</v>
      </c>
      <c r="AA164" t="n">
        <v>6.066096</v>
      </c>
      <c r="AB164" t="n">
        <v>4.549572</v>
      </c>
      <c r="AC164" t="n">
        <v>4.675949</v>
      </c>
      <c r="AD164" t="n">
        <v>5.181457</v>
      </c>
      <c r="AE164" t="n">
        <v>5.307834</v>
      </c>
      <c r="AF164" t="n">
        <v>5.560588</v>
      </c>
      <c r="AG164" t="n">
        <v>6.31885</v>
      </c>
      <c r="AH164" t="n">
        <v>7.077112</v>
      </c>
      <c r="AI164" t="n">
        <v>9.857405999999999</v>
      </c>
    </row>
    <row r="165">
      <c r="A165" t="n">
        <v>44</v>
      </c>
      <c r="B165" s="13" t="n">
        <v>45566</v>
      </c>
      <c r="C165" s="13" t="n">
        <v>45930</v>
      </c>
      <c r="D165" s="13" t="n">
        <v>45566</v>
      </c>
      <c r="E165" t="n">
        <v>0</v>
      </c>
      <c r="F165" s="13" t="n">
        <v>45930</v>
      </c>
      <c r="G165" t="n">
        <v>1263.18</v>
      </c>
      <c r="H165" t="n">
        <v>427.207476</v>
      </c>
      <c r="I165" t="n">
        <v>259.078218</v>
      </c>
      <c r="J165" t="n">
        <v>284.84709</v>
      </c>
      <c r="K165" t="n">
        <v>401.312286</v>
      </c>
      <c r="L165" t="n">
        <v>188.340138</v>
      </c>
      <c r="M165" t="n">
        <v>135.286578</v>
      </c>
      <c r="N165" t="n">
        <v>144.63411</v>
      </c>
      <c r="O165" t="n">
        <v>111.665112</v>
      </c>
      <c r="P165" t="n">
        <v>86.65414800000001</v>
      </c>
      <c r="Q165" t="n">
        <v>84.759378</v>
      </c>
      <c r="R165" t="n">
        <v>103.201806</v>
      </c>
      <c r="S165" t="n">
        <v>105.47553</v>
      </c>
      <c r="T165" t="n">
        <v>102.696534</v>
      </c>
      <c r="U165" t="n">
        <v>120.63369</v>
      </c>
      <c r="V165" t="n">
        <v>131.623356</v>
      </c>
      <c r="W165" t="n">
        <v>187.076958</v>
      </c>
      <c r="X165" t="n">
        <v>9.852804000000001</v>
      </c>
      <c r="Y165" t="n">
        <v>7.831716</v>
      </c>
      <c r="Z165" t="n">
        <v>7.57908</v>
      </c>
      <c r="AA165" t="n">
        <v>6.063264</v>
      </c>
      <c r="AB165" t="n">
        <v>4.547448</v>
      </c>
      <c r="AC165" t="n">
        <v>4.547448</v>
      </c>
      <c r="AD165" t="n">
        <v>5.431674</v>
      </c>
      <c r="AE165" t="n">
        <v>5.557992</v>
      </c>
      <c r="AF165" t="n">
        <v>5.557992</v>
      </c>
      <c r="AG165" t="n">
        <v>6.3159</v>
      </c>
      <c r="AH165" t="n">
        <v>7.073808</v>
      </c>
      <c r="AI165" t="n">
        <v>9.852804000000001</v>
      </c>
    </row>
    <row r="166">
      <c r="A166" t="n">
        <v>44</v>
      </c>
      <c r="B166" s="13" t="n">
        <v>45931</v>
      </c>
      <c r="C166" s="13" t="n">
        <v>46295</v>
      </c>
      <c r="D166" s="13" t="n">
        <v>45931</v>
      </c>
      <c r="E166" t="n">
        <v>0</v>
      </c>
      <c r="F166" s="13" t="n">
        <v>46295</v>
      </c>
      <c r="G166" t="n">
        <v>1327.27</v>
      </c>
      <c r="H166" t="n">
        <v>446.759082</v>
      </c>
      <c r="I166" t="n">
        <v>271.559442</v>
      </c>
      <c r="J166" t="n">
        <v>296.379391</v>
      </c>
      <c r="K166" t="n">
        <v>428.177302</v>
      </c>
      <c r="L166" t="n">
        <v>194.843236</v>
      </c>
      <c r="M166" t="n">
        <v>137.637899</v>
      </c>
      <c r="N166" t="n">
        <v>150.645145</v>
      </c>
      <c r="O166" t="n">
        <v>115.207036</v>
      </c>
      <c r="P166" t="n">
        <v>92.112538</v>
      </c>
      <c r="Q166" t="n">
        <v>88.528909</v>
      </c>
      <c r="R166" t="n">
        <v>108.703413</v>
      </c>
      <c r="S166" t="n">
        <v>109.632502</v>
      </c>
      <c r="T166" t="n">
        <v>108.437959</v>
      </c>
      <c r="U166" t="n">
        <v>129.939733</v>
      </c>
      <c r="V166" t="n">
        <v>143.876068</v>
      </c>
      <c r="W166" t="n">
        <v>198.559592</v>
      </c>
      <c r="X166" t="n">
        <v>10.219979</v>
      </c>
      <c r="Y166" t="n">
        <v>7.96362</v>
      </c>
      <c r="Z166" t="n">
        <v>7.830893</v>
      </c>
      <c r="AA166" t="n">
        <v>6.238169</v>
      </c>
      <c r="AB166" t="n">
        <v>4.778172</v>
      </c>
      <c r="AC166" t="n">
        <v>4.778172</v>
      </c>
      <c r="AD166" t="n">
        <v>5.707261</v>
      </c>
      <c r="AE166" t="n">
        <v>5.707261</v>
      </c>
      <c r="AF166" t="n">
        <v>5.839988</v>
      </c>
      <c r="AG166" t="n">
        <v>6.769077</v>
      </c>
      <c r="AH166" t="n">
        <v>7.830893</v>
      </c>
      <c r="AI166" t="n">
        <v>10.352706</v>
      </c>
    </row>
    <row r="167">
      <c r="A167" t="n">
        <v>44</v>
      </c>
      <c r="B167" s="13" t="n">
        <v>46296</v>
      </c>
      <c r="C167" s="13" t="n">
        <v>2958465</v>
      </c>
      <c r="D167" s="13" t="n">
        <v>46296</v>
      </c>
      <c r="E167" t="n">
        <v>1</v>
      </c>
      <c r="G167" t="n">
        <v>1326.48</v>
      </c>
      <c r="H167" t="n">
        <v>443.309616</v>
      </c>
      <c r="I167" t="n">
        <v>271.795752</v>
      </c>
      <c r="J167" t="n">
        <v>293.284728</v>
      </c>
      <c r="K167" t="n">
        <v>433.626312</v>
      </c>
      <c r="L167" t="n">
        <v>190.747824</v>
      </c>
      <c r="M167" t="n">
        <v>139.413048</v>
      </c>
      <c r="N167" t="n">
        <v>148.831056</v>
      </c>
      <c r="O167" t="n">
        <v>113.41404</v>
      </c>
      <c r="P167" t="n">
        <v>94.445376</v>
      </c>
      <c r="Q167" t="n">
        <v>88.343568</v>
      </c>
      <c r="R167" t="n">
        <v>106.78164</v>
      </c>
      <c r="S167" t="n">
        <v>108.77136</v>
      </c>
      <c r="T167" t="n">
        <v>107.710176</v>
      </c>
      <c r="U167" t="n">
        <v>131.188872</v>
      </c>
      <c r="V167" t="n">
        <v>146.310744</v>
      </c>
      <c r="W167" t="n">
        <v>200.829072</v>
      </c>
      <c r="X167" t="n">
        <v>9.948600000000001</v>
      </c>
      <c r="Y167" t="n">
        <v>8.091528</v>
      </c>
      <c r="Z167" t="n">
        <v>7.826232</v>
      </c>
      <c r="AA167" t="n">
        <v>6.101808</v>
      </c>
      <c r="AB167" t="n">
        <v>4.907976</v>
      </c>
      <c r="AC167" t="n">
        <v>4.775328</v>
      </c>
      <c r="AD167" t="n">
        <v>5.571216</v>
      </c>
      <c r="AE167" t="n">
        <v>5.703864</v>
      </c>
      <c r="AF167" t="n">
        <v>5.836512</v>
      </c>
      <c r="AG167" t="n">
        <v>6.897696</v>
      </c>
      <c r="AH167" t="n">
        <v>7.95888</v>
      </c>
      <c r="AI167" t="n">
        <v>10.479192</v>
      </c>
    </row>
    <row r="168">
      <c r="A168" t="n">
        <v>45</v>
      </c>
      <c r="B168" s="13" t="n">
        <v>44197</v>
      </c>
      <c r="C168" s="13" t="n">
        <v>45657</v>
      </c>
      <c r="D168" s="13" t="n">
        <v>44197</v>
      </c>
      <c r="E168" t="n">
        <v>0</v>
      </c>
      <c r="F168" s="13" t="n">
        <v>45657</v>
      </c>
      <c r="G168" t="n">
        <v>0.85</v>
      </c>
      <c r="H168" t="n">
        <v>0.2410274</v>
      </c>
      <c r="I168" t="n">
        <v>0.24370548</v>
      </c>
      <c r="J168" t="n">
        <v>0.24638356</v>
      </c>
      <c r="K168" t="n">
        <v>0.24638356</v>
      </c>
      <c r="L168" t="n">
        <v>0.09384932</v>
      </c>
      <c r="M168" t="n">
        <v>0.08476712</v>
      </c>
      <c r="N168" t="n">
        <v>0.09384932</v>
      </c>
      <c r="O168" t="n">
        <v>0.09082192</v>
      </c>
      <c r="P168" t="n">
        <v>0.09384932</v>
      </c>
      <c r="Q168" t="n">
        <v>0.09082192</v>
      </c>
      <c r="R168" t="n">
        <v>0.09384932</v>
      </c>
      <c r="S168" t="n">
        <v>0.09384932</v>
      </c>
      <c r="T168" t="n">
        <v>0.09082192</v>
      </c>
      <c r="U168" t="n">
        <v>0.09384932</v>
      </c>
      <c r="V168" t="n">
        <v>0.09082192</v>
      </c>
      <c r="W168" t="n">
        <v>0.09384932</v>
      </c>
      <c r="X168" t="n">
        <v>0.00349315</v>
      </c>
      <c r="Y168" t="n">
        <v>0.00349315</v>
      </c>
      <c r="Z168" t="n">
        <v>0.00349315</v>
      </c>
      <c r="AA168" t="n">
        <v>0.00349315</v>
      </c>
      <c r="AB168" t="n">
        <v>0.00349315</v>
      </c>
      <c r="AC168" t="n">
        <v>0.00349315</v>
      </c>
      <c r="AD168" t="n">
        <v>0.00349315</v>
      </c>
      <c r="AE168" t="n">
        <v>0.00349315</v>
      </c>
      <c r="AF168" t="n">
        <v>0.00349315</v>
      </c>
      <c r="AG168" t="n">
        <v>0.00349315</v>
      </c>
      <c r="AH168" t="n">
        <v>0.00349315</v>
      </c>
      <c r="AI168" t="n">
        <v>0.00349315</v>
      </c>
    </row>
    <row r="169">
      <c r="A169" t="n">
        <v>45</v>
      </c>
      <c r="B169" s="13" t="n">
        <v>45658</v>
      </c>
      <c r="C169" s="13" t="n">
        <v>46022</v>
      </c>
      <c r="D169" s="13" t="n">
        <v>45658</v>
      </c>
      <c r="E169" t="n">
        <v>0</v>
      </c>
      <c r="F169" s="13" t="n">
        <v>46022</v>
      </c>
      <c r="G169" t="n">
        <v>1.37</v>
      </c>
      <c r="H169" t="n">
        <v>0.42226027</v>
      </c>
      <c r="I169" t="n">
        <v>0.42695205</v>
      </c>
      <c r="J169" t="n">
        <v>0.43164384</v>
      </c>
      <c r="K169" t="n">
        <v>0.43164384</v>
      </c>
      <c r="L169" t="n">
        <v>0.17453425</v>
      </c>
      <c r="M169" t="n">
        <v>0.15764384</v>
      </c>
      <c r="N169" t="n">
        <v>0.17453425</v>
      </c>
      <c r="O169" t="n">
        <v>0.16890411</v>
      </c>
      <c r="P169" t="n">
        <v>0.17453425</v>
      </c>
      <c r="Q169" t="n">
        <v>0.16890411</v>
      </c>
      <c r="R169" t="n">
        <v>0.17453425</v>
      </c>
      <c r="S169" t="n">
        <v>0.17453425</v>
      </c>
      <c r="T169" t="n">
        <v>0.16890411</v>
      </c>
      <c r="U169" t="n">
        <v>0.17453425</v>
      </c>
      <c r="V169" t="n">
        <v>0.16890411</v>
      </c>
      <c r="W169" t="n">
        <v>0.17453425</v>
      </c>
      <c r="X169" t="n">
        <v>0.00750685</v>
      </c>
      <c r="Y169" t="n">
        <v>0.00750685</v>
      </c>
      <c r="Z169" t="n">
        <v>0.00750685</v>
      </c>
      <c r="AA169" t="n">
        <v>0.00750685</v>
      </c>
      <c r="AB169" t="n">
        <v>0.00750685</v>
      </c>
      <c r="AC169" t="n">
        <v>0.00750685</v>
      </c>
      <c r="AD169" t="n">
        <v>0.00750685</v>
      </c>
      <c r="AE169" t="n">
        <v>0.00750685</v>
      </c>
      <c r="AF169" t="n">
        <v>0.00750685</v>
      </c>
      <c r="AG169" t="n">
        <v>0.00750685</v>
      </c>
      <c r="AH169" t="n">
        <v>0.00750685</v>
      </c>
      <c r="AI169" t="n">
        <v>0.00750685</v>
      </c>
    </row>
    <row r="170">
      <c r="A170" t="n">
        <v>45</v>
      </c>
      <c r="B170" s="13" t="n">
        <v>46023</v>
      </c>
      <c r="C170" s="13" t="n">
        <v>46387</v>
      </c>
      <c r="D170" s="13" t="n">
        <v>46023</v>
      </c>
      <c r="E170" t="n">
        <v>0</v>
      </c>
      <c r="F170" s="13" t="n">
        <v>46387</v>
      </c>
      <c r="G170" t="n">
        <v>2.77</v>
      </c>
      <c r="H170" t="n">
        <v>0.85376712</v>
      </c>
      <c r="I170" t="n">
        <v>0.86325342</v>
      </c>
      <c r="J170" t="n">
        <v>0.87273972</v>
      </c>
      <c r="K170" t="n">
        <v>0.87273972</v>
      </c>
      <c r="L170" t="n">
        <v>0.35289041</v>
      </c>
      <c r="M170" t="n">
        <v>0.31873972</v>
      </c>
      <c r="N170" t="n">
        <v>0.35289041</v>
      </c>
      <c r="O170" t="n">
        <v>0.34150684</v>
      </c>
      <c r="P170" t="n">
        <v>0.35289041</v>
      </c>
      <c r="Q170" t="n">
        <v>0.34150684</v>
      </c>
      <c r="R170" t="n">
        <v>0.35289041</v>
      </c>
      <c r="S170" t="n">
        <v>0.35289041</v>
      </c>
      <c r="T170" t="n">
        <v>0.34150684</v>
      </c>
      <c r="U170" t="n">
        <v>0.35289041</v>
      </c>
      <c r="V170" t="n">
        <v>0.34150684</v>
      </c>
      <c r="W170" t="n">
        <v>0.35289041</v>
      </c>
      <c r="X170" t="n">
        <v>0.01517808</v>
      </c>
      <c r="Y170" t="n">
        <v>0.01517808</v>
      </c>
      <c r="Z170" t="n">
        <v>0.01517808</v>
      </c>
      <c r="AA170" t="n">
        <v>0.01517808</v>
      </c>
      <c r="AB170" t="n">
        <v>0.01517808</v>
      </c>
      <c r="AC170" t="n">
        <v>0.01517808</v>
      </c>
      <c r="AD170" t="n">
        <v>0.01517808</v>
      </c>
      <c r="AE170" t="n">
        <v>0.01517808</v>
      </c>
      <c r="AF170" t="n">
        <v>0.01517808</v>
      </c>
      <c r="AG170" t="n">
        <v>0.01517808</v>
      </c>
      <c r="AH170" t="n">
        <v>0.01517808</v>
      </c>
      <c r="AI170" t="n">
        <v>0.01517808</v>
      </c>
    </row>
    <row r="171">
      <c r="A171" t="n">
        <v>45</v>
      </c>
      <c r="B171" s="13" t="n">
        <v>46388</v>
      </c>
      <c r="C171" s="13" t="n">
        <v>2958465</v>
      </c>
      <c r="D171" s="13" t="n">
        <v>46388</v>
      </c>
      <c r="E171" t="n">
        <v>1</v>
      </c>
      <c r="G171" t="n">
        <v>2.76</v>
      </c>
      <c r="H171" t="n">
        <v>0.85068493</v>
      </c>
      <c r="I171" t="n">
        <v>0.86013699</v>
      </c>
      <c r="J171" t="n">
        <v>0.86958904</v>
      </c>
      <c r="K171" t="n">
        <v>0.86958904</v>
      </c>
      <c r="L171" t="n">
        <v>0.35161644</v>
      </c>
      <c r="M171" t="n">
        <v>0.31758904</v>
      </c>
      <c r="N171" t="n">
        <v>0.35161644</v>
      </c>
      <c r="O171" t="n">
        <v>0.34027397</v>
      </c>
      <c r="P171" t="n">
        <v>0.35161644</v>
      </c>
      <c r="Q171" t="n">
        <v>0.34027397</v>
      </c>
      <c r="R171" t="n">
        <v>0.35161644</v>
      </c>
      <c r="S171" t="n">
        <v>0.35161644</v>
      </c>
      <c r="T171" t="n">
        <v>0.34027397</v>
      </c>
      <c r="U171" t="n">
        <v>0.35161644</v>
      </c>
      <c r="V171" t="n">
        <v>0.34027397</v>
      </c>
      <c r="W171" t="n">
        <v>0.35161644</v>
      </c>
      <c r="X171" t="n">
        <v>0.01512329</v>
      </c>
      <c r="Y171" t="n">
        <v>0.01512329</v>
      </c>
      <c r="Z171" t="n">
        <v>0.01512329</v>
      </c>
      <c r="AA171" t="n">
        <v>0.01512329</v>
      </c>
      <c r="AB171" t="n">
        <v>0.01512329</v>
      </c>
      <c r="AC171" t="n">
        <v>0.01512329</v>
      </c>
      <c r="AD171" t="n">
        <v>0.01512329</v>
      </c>
      <c r="AE171" t="n">
        <v>0.01512329</v>
      </c>
      <c r="AF171" t="n">
        <v>0.01512329</v>
      </c>
      <c r="AG171" t="n">
        <v>0.01512329</v>
      </c>
      <c r="AH171" t="n">
        <v>0.01512329</v>
      </c>
      <c r="AI171" t="n">
        <v>0.01512329</v>
      </c>
    </row>
    <row r="172">
      <c r="A172" t="n">
        <v>46</v>
      </c>
      <c r="B172" s="13" t="n">
        <v>44197</v>
      </c>
      <c r="C172" s="13" t="n">
        <v>45657</v>
      </c>
      <c r="D172" s="13" t="n">
        <v>44197</v>
      </c>
      <c r="E172" t="n">
        <v>0</v>
      </c>
      <c r="F172" s="13" t="n">
        <v>45657</v>
      </c>
      <c r="G172" t="n">
        <v>0.85</v>
      </c>
      <c r="H172" t="n">
        <v>0.2410274</v>
      </c>
      <c r="I172" t="n">
        <v>0.24370548</v>
      </c>
      <c r="J172" t="n">
        <v>0.24638356</v>
      </c>
      <c r="K172" t="n">
        <v>0.24638356</v>
      </c>
      <c r="L172" t="n">
        <v>0.09384932</v>
      </c>
      <c r="M172" t="n">
        <v>0.08476712</v>
      </c>
      <c r="N172" t="n">
        <v>0.09384932</v>
      </c>
      <c r="O172" t="n">
        <v>0.09082192</v>
      </c>
      <c r="P172" t="n">
        <v>0.09384932</v>
      </c>
      <c r="Q172" t="n">
        <v>0.09082192</v>
      </c>
      <c r="R172" t="n">
        <v>0.09384932</v>
      </c>
      <c r="S172" t="n">
        <v>0.09384932</v>
      </c>
      <c r="T172" t="n">
        <v>0.09082192</v>
      </c>
      <c r="U172" t="n">
        <v>0.09384932</v>
      </c>
      <c r="V172" t="n">
        <v>0.09082192</v>
      </c>
      <c r="W172" t="n">
        <v>0.09384932</v>
      </c>
      <c r="X172" t="n">
        <v>0.00349315</v>
      </c>
      <c r="Y172" t="n">
        <v>0.00349315</v>
      </c>
      <c r="Z172" t="n">
        <v>0.00349315</v>
      </c>
      <c r="AA172" t="n">
        <v>0.00349315</v>
      </c>
      <c r="AB172" t="n">
        <v>0.00349315</v>
      </c>
      <c r="AC172" t="n">
        <v>0.00349315</v>
      </c>
      <c r="AD172" t="n">
        <v>0.00349315</v>
      </c>
      <c r="AE172" t="n">
        <v>0.00349315</v>
      </c>
      <c r="AF172" t="n">
        <v>0.00349315</v>
      </c>
      <c r="AG172" t="n">
        <v>0.00349315</v>
      </c>
      <c r="AH172" t="n">
        <v>0.00349315</v>
      </c>
      <c r="AI172" t="n">
        <v>0.00349315</v>
      </c>
    </row>
    <row r="173">
      <c r="A173" t="n">
        <v>46</v>
      </c>
      <c r="B173" s="13" t="n">
        <v>45658</v>
      </c>
      <c r="C173" s="13" t="n">
        <v>46022</v>
      </c>
      <c r="D173" s="13" t="n">
        <v>45658</v>
      </c>
      <c r="E173" t="n">
        <v>0</v>
      </c>
      <c r="F173" s="13" t="n">
        <v>46022</v>
      </c>
      <c r="G173" t="n">
        <v>1.37</v>
      </c>
      <c r="H173" t="n">
        <v>0.42226027</v>
      </c>
      <c r="I173" t="n">
        <v>0.42695205</v>
      </c>
      <c r="J173" t="n">
        <v>0.43164384</v>
      </c>
      <c r="K173" t="n">
        <v>0.43164384</v>
      </c>
      <c r="L173" t="n">
        <v>0.17453425</v>
      </c>
      <c r="M173" t="n">
        <v>0.15764384</v>
      </c>
      <c r="N173" t="n">
        <v>0.17453425</v>
      </c>
      <c r="O173" t="n">
        <v>0.16890411</v>
      </c>
      <c r="P173" t="n">
        <v>0.17453425</v>
      </c>
      <c r="Q173" t="n">
        <v>0.16890411</v>
      </c>
      <c r="R173" t="n">
        <v>0.17453425</v>
      </c>
      <c r="S173" t="n">
        <v>0.17453425</v>
      </c>
      <c r="T173" t="n">
        <v>0.16890411</v>
      </c>
      <c r="U173" t="n">
        <v>0.17453425</v>
      </c>
      <c r="V173" t="n">
        <v>0.16890411</v>
      </c>
      <c r="W173" t="n">
        <v>0.17453425</v>
      </c>
      <c r="X173" t="n">
        <v>0.00750685</v>
      </c>
      <c r="Y173" t="n">
        <v>0.00750685</v>
      </c>
      <c r="Z173" t="n">
        <v>0.00750685</v>
      </c>
      <c r="AA173" t="n">
        <v>0.00750685</v>
      </c>
      <c r="AB173" t="n">
        <v>0.00750685</v>
      </c>
      <c r="AC173" t="n">
        <v>0.00750685</v>
      </c>
      <c r="AD173" t="n">
        <v>0.00750685</v>
      </c>
      <c r="AE173" t="n">
        <v>0.00750685</v>
      </c>
      <c r="AF173" t="n">
        <v>0.00750685</v>
      </c>
      <c r="AG173" t="n">
        <v>0.00750685</v>
      </c>
      <c r="AH173" t="n">
        <v>0.00750685</v>
      </c>
      <c r="AI173" t="n">
        <v>0.00750685</v>
      </c>
    </row>
    <row r="174">
      <c r="A174" t="n">
        <v>46</v>
      </c>
      <c r="B174" s="13" t="n">
        <v>46023</v>
      </c>
      <c r="C174" s="13" t="n">
        <v>46387</v>
      </c>
      <c r="D174" s="13" t="n">
        <v>46023</v>
      </c>
      <c r="E174" t="n">
        <v>0</v>
      </c>
      <c r="F174" s="13" t="n">
        <v>46387</v>
      </c>
      <c r="G174" t="n">
        <v>2.77</v>
      </c>
      <c r="H174" t="n">
        <v>0.85376712</v>
      </c>
      <c r="I174" t="n">
        <v>0.86325342</v>
      </c>
      <c r="J174" t="n">
        <v>0.87273972</v>
      </c>
      <c r="K174" t="n">
        <v>0.87273972</v>
      </c>
      <c r="L174" t="n">
        <v>0.35289041</v>
      </c>
      <c r="M174" t="n">
        <v>0.31873972</v>
      </c>
      <c r="N174" t="n">
        <v>0.35289041</v>
      </c>
      <c r="O174" t="n">
        <v>0.34150684</v>
      </c>
      <c r="P174" t="n">
        <v>0.35289041</v>
      </c>
      <c r="Q174" t="n">
        <v>0.34150684</v>
      </c>
      <c r="R174" t="n">
        <v>0.35289041</v>
      </c>
      <c r="S174" t="n">
        <v>0.35289041</v>
      </c>
      <c r="T174" t="n">
        <v>0.34150684</v>
      </c>
      <c r="U174" t="n">
        <v>0.35289041</v>
      </c>
      <c r="V174" t="n">
        <v>0.34150684</v>
      </c>
      <c r="W174" t="n">
        <v>0.35289041</v>
      </c>
      <c r="X174" t="n">
        <v>0.01517808</v>
      </c>
      <c r="Y174" t="n">
        <v>0.01517808</v>
      </c>
      <c r="Z174" t="n">
        <v>0.01517808</v>
      </c>
      <c r="AA174" t="n">
        <v>0.01517808</v>
      </c>
      <c r="AB174" t="n">
        <v>0.01517808</v>
      </c>
      <c r="AC174" t="n">
        <v>0.01517808</v>
      </c>
      <c r="AD174" t="n">
        <v>0.01517808</v>
      </c>
      <c r="AE174" t="n">
        <v>0.01517808</v>
      </c>
      <c r="AF174" t="n">
        <v>0.01517808</v>
      </c>
      <c r="AG174" t="n">
        <v>0.01517808</v>
      </c>
      <c r="AH174" t="n">
        <v>0.01517808</v>
      </c>
      <c r="AI174" t="n">
        <v>0.01517808</v>
      </c>
    </row>
    <row r="175">
      <c r="A175" t="n">
        <v>46</v>
      </c>
      <c r="B175" s="13" t="n">
        <v>46388</v>
      </c>
      <c r="C175" s="13" t="n">
        <v>2958465</v>
      </c>
      <c r="D175" s="13" t="n">
        <v>46388</v>
      </c>
      <c r="E175" t="n">
        <v>1</v>
      </c>
      <c r="G175" t="n">
        <v>2.76</v>
      </c>
      <c r="H175" t="n">
        <v>0.85068493</v>
      </c>
      <c r="I175" t="n">
        <v>0.86013699</v>
      </c>
      <c r="J175" t="n">
        <v>0.86958904</v>
      </c>
      <c r="K175" t="n">
        <v>0.86958904</v>
      </c>
      <c r="L175" t="n">
        <v>0.35161644</v>
      </c>
      <c r="M175" t="n">
        <v>0.31758904</v>
      </c>
      <c r="N175" t="n">
        <v>0.35161644</v>
      </c>
      <c r="O175" t="n">
        <v>0.34027397</v>
      </c>
      <c r="P175" t="n">
        <v>0.35161644</v>
      </c>
      <c r="Q175" t="n">
        <v>0.34027397</v>
      </c>
      <c r="R175" t="n">
        <v>0.35161644</v>
      </c>
      <c r="S175" t="n">
        <v>0.35161644</v>
      </c>
      <c r="T175" t="n">
        <v>0.34027397</v>
      </c>
      <c r="U175" t="n">
        <v>0.35161644</v>
      </c>
      <c r="V175" t="n">
        <v>0.34027397</v>
      </c>
      <c r="W175" t="n">
        <v>0.35161644</v>
      </c>
      <c r="X175" t="n">
        <v>0.01512329</v>
      </c>
      <c r="Y175" t="n">
        <v>0.01512329</v>
      </c>
      <c r="Z175" t="n">
        <v>0.01512329</v>
      </c>
      <c r="AA175" t="n">
        <v>0.01512329</v>
      </c>
      <c r="AB175" t="n">
        <v>0.01512329</v>
      </c>
      <c r="AC175" t="n">
        <v>0.01512329</v>
      </c>
      <c r="AD175" t="n">
        <v>0.01512329</v>
      </c>
      <c r="AE175" t="n">
        <v>0.01512329</v>
      </c>
      <c r="AF175" t="n">
        <v>0.01512329</v>
      </c>
      <c r="AG175" t="n">
        <v>0.01512329</v>
      </c>
      <c r="AH175" t="n">
        <v>0.01512329</v>
      </c>
      <c r="AI175" t="n">
        <v>0.01512329</v>
      </c>
    </row>
    <row r="176">
      <c r="A176" t="n">
        <v>47</v>
      </c>
      <c r="B176" s="13" t="n">
        <v>44197</v>
      </c>
      <c r="C176" s="13" t="n">
        <v>45657</v>
      </c>
      <c r="D176" s="13" t="n">
        <v>44197</v>
      </c>
      <c r="E176" t="n">
        <v>0</v>
      </c>
      <c r="F176" s="13" t="n">
        <v>45657</v>
      </c>
      <c r="G176" t="n">
        <v>0.97</v>
      </c>
      <c r="H176" t="n">
        <v>0.27505479</v>
      </c>
      <c r="I176" t="n">
        <v>0.27811096</v>
      </c>
      <c r="J176" t="n">
        <v>0.28116712</v>
      </c>
      <c r="K176" t="n">
        <v>0.28116712</v>
      </c>
      <c r="L176" t="n">
        <v>0.10709863</v>
      </c>
      <c r="M176" t="n">
        <v>0.09673424999999999</v>
      </c>
      <c r="N176" t="n">
        <v>0.10709863</v>
      </c>
      <c r="O176" t="n">
        <v>0.10364384</v>
      </c>
      <c r="P176" t="n">
        <v>0.10709863</v>
      </c>
      <c r="Q176" t="n">
        <v>0.10364384</v>
      </c>
      <c r="R176" t="n">
        <v>0.10709863</v>
      </c>
      <c r="S176" t="n">
        <v>0.10709863</v>
      </c>
      <c r="T176" t="n">
        <v>0.10364384</v>
      </c>
      <c r="U176" t="n">
        <v>0.10709863</v>
      </c>
      <c r="V176" t="n">
        <v>0.10364384</v>
      </c>
      <c r="W176" t="n">
        <v>0.10709863</v>
      </c>
      <c r="X176" t="n">
        <v>0.0039863</v>
      </c>
      <c r="Y176" t="n">
        <v>0.0039863</v>
      </c>
      <c r="Z176" t="n">
        <v>0.0039863</v>
      </c>
      <c r="AA176" t="n">
        <v>0.0039863</v>
      </c>
      <c r="AB176" t="n">
        <v>0.0039863</v>
      </c>
      <c r="AC176" t="n">
        <v>0.0039863</v>
      </c>
      <c r="AD176" t="n">
        <v>0.0039863</v>
      </c>
      <c r="AE176" t="n">
        <v>0.0039863</v>
      </c>
      <c r="AF176" t="n">
        <v>0.0039863</v>
      </c>
      <c r="AG176" t="n">
        <v>0.0039863</v>
      </c>
      <c r="AH176" t="n">
        <v>0.0039863</v>
      </c>
      <c r="AI176" t="n">
        <v>0.0039863</v>
      </c>
    </row>
    <row r="177">
      <c r="A177" t="n">
        <v>47</v>
      </c>
      <c r="B177" s="13" t="n">
        <v>45658</v>
      </c>
      <c r="C177" s="13" t="n">
        <v>46022</v>
      </c>
      <c r="D177" s="13" t="n">
        <v>45658</v>
      </c>
      <c r="E177" t="n">
        <v>0</v>
      </c>
      <c r="F177" s="13" t="n">
        <v>46022</v>
      </c>
      <c r="G177" t="n">
        <v>1.37</v>
      </c>
      <c r="H177" t="n">
        <v>0.42226027</v>
      </c>
      <c r="I177" t="n">
        <v>0.42695205</v>
      </c>
      <c r="J177" t="n">
        <v>0.43164384</v>
      </c>
      <c r="K177" t="n">
        <v>0.43164384</v>
      </c>
      <c r="L177" t="n">
        <v>0.17453425</v>
      </c>
      <c r="M177" t="n">
        <v>0.15764384</v>
      </c>
      <c r="N177" t="n">
        <v>0.17453425</v>
      </c>
      <c r="O177" t="n">
        <v>0.16890411</v>
      </c>
      <c r="P177" t="n">
        <v>0.17453425</v>
      </c>
      <c r="Q177" t="n">
        <v>0.16890411</v>
      </c>
      <c r="R177" t="n">
        <v>0.17453425</v>
      </c>
      <c r="S177" t="n">
        <v>0.17453425</v>
      </c>
      <c r="T177" t="n">
        <v>0.16890411</v>
      </c>
      <c r="U177" t="n">
        <v>0.17453425</v>
      </c>
      <c r="V177" t="n">
        <v>0.16890411</v>
      </c>
      <c r="W177" t="n">
        <v>0.17453425</v>
      </c>
      <c r="X177" t="n">
        <v>0.00750685</v>
      </c>
      <c r="Y177" t="n">
        <v>0.00750685</v>
      </c>
      <c r="Z177" t="n">
        <v>0.00750685</v>
      </c>
      <c r="AA177" t="n">
        <v>0.00750685</v>
      </c>
      <c r="AB177" t="n">
        <v>0.00750685</v>
      </c>
      <c r="AC177" t="n">
        <v>0.00750685</v>
      </c>
      <c r="AD177" t="n">
        <v>0.00750685</v>
      </c>
      <c r="AE177" t="n">
        <v>0.00750685</v>
      </c>
      <c r="AF177" t="n">
        <v>0.00750685</v>
      </c>
      <c r="AG177" t="n">
        <v>0.00750685</v>
      </c>
      <c r="AH177" t="n">
        <v>0.00750685</v>
      </c>
      <c r="AI177" t="n">
        <v>0.00750685</v>
      </c>
    </row>
    <row r="178">
      <c r="A178" t="n">
        <v>47</v>
      </c>
      <c r="B178" s="13" t="n">
        <v>46023</v>
      </c>
      <c r="C178" s="13" t="n">
        <v>46387</v>
      </c>
      <c r="D178" s="13" t="n">
        <v>46023</v>
      </c>
      <c r="E178" t="n">
        <v>0</v>
      </c>
      <c r="F178" s="13" t="n">
        <v>46387</v>
      </c>
      <c r="G178" t="n">
        <v>2.77</v>
      </c>
      <c r="H178" t="n">
        <v>0.85376712</v>
      </c>
      <c r="I178" t="n">
        <v>0.86325342</v>
      </c>
      <c r="J178" t="n">
        <v>0.87273972</v>
      </c>
      <c r="K178" t="n">
        <v>0.87273972</v>
      </c>
      <c r="L178" t="n">
        <v>0.35289041</v>
      </c>
      <c r="M178" t="n">
        <v>0.31873972</v>
      </c>
      <c r="N178" t="n">
        <v>0.35289041</v>
      </c>
      <c r="O178" t="n">
        <v>0.34150684</v>
      </c>
      <c r="P178" t="n">
        <v>0.35289041</v>
      </c>
      <c r="Q178" t="n">
        <v>0.34150684</v>
      </c>
      <c r="R178" t="n">
        <v>0.35289041</v>
      </c>
      <c r="S178" t="n">
        <v>0.35289041</v>
      </c>
      <c r="T178" t="n">
        <v>0.34150684</v>
      </c>
      <c r="U178" t="n">
        <v>0.35289041</v>
      </c>
      <c r="V178" t="n">
        <v>0.34150684</v>
      </c>
      <c r="W178" t="n">
        <v>0.35289041</v>
      </c>
      <c r="X178" t="n">
        <v>0.01517808</v>
      </c>
      <c r="Y178" t="n">
        <v>0.01517808</v>
      </c>
      <c r="Z178" t="n">
        <v>0.01517808</v>
      </c>
      <c r="AA178" t="n">
        <v>0.01517808</v>
      </c>
      <c r="AB178" t="n">
        <v>0.01517808</v>
      </c>
      <c r="AC178" t="n">
        <v>0.01517808</v>
      </c>
      <c r="AD178" t="n">
        <v>0.01517808</v>
      </c>
      <c r="AE178" t="n">
        <v>0.01517808</v>
      </c>
      <c r="AF178" t="n">
        <v>0.01517808</v>
      </c>
      <c r="AG178" t="n">
        <v>0.01517808</v>
      </c>
      <c r="AH178" t="n">
        <v>0.01517808</v>
      </c>
      <c r="AI178" t="n">
        <v>0.01517808</v>
      </c>
    </row>
    <row r="179">
      <c r="A179" t="n">
        <v>47</v>
      </c>
      <c r="B179" s="13" t="n">
        <v>46388</v>
      </c>
      <c r="C179" s="13" t="n">
        <v>2958465</v>
      </c>
      <c r="D179" s="13" t="n">
        <v>46388</v>
      </c>
      <c r="E179" t="n">
        <v>1</v>
      </c>
      <c r="G179" t="n">
        <v>2.76</v>
      </c>
      <c r="H179" t="n">
        <v>0.85068493</v>
      </c>
      <c r="I179" t="n">
        <v>0.86013699</v>
      </c>
      <c r="J179" t="n">
        <v>0.86958904</v>
      </c>
      <c r="K179" t="n">
        <v>0.86958904</v>
      </c>
      <c r="L179" t="n">
        <v>0.35161644</v>
      </c>
      <c r="M179" t="n">
        <v>0.31758904</v>
      </c>
      <c r="N179" t="n">
        <v>0.35161644</v>
      </c>
      <c r="O179" t="n">
        <v>0.34027397</v>
      </c>
      <c r="P179" t="n">
        <v>0.35161644</v>
      </c>
      <c r="Q179" t="n">
        <v>0.34027397</v>
      </c>
      <c r="R179" t="n">
        <v>0.35161644</v>
      </c>
      <c r="S179" t="n">
        <v>0.35161644</v>
      </c>
      <c r="T179" t="n">
        <v>0.34027397</v>
      </c>
      <c r="U179" t="n">
        <v>0.35161644</v>
      </c>
      <c r="V179" t="n">
        <v>0.34027397</v>
      </c>
      <c r="W179" t="n">
        <v>0.35161644</v>
      </c>
      <c r="X179" t="n">
        <v>0.01512329</v>
      </c>
      <c r="Y179" t="n">
        <v>0.01512329</v>
      </c>
      <c r="Z179" t="n">
        <v>0.01512329</v>
      </c>
      <c r="AA179" t="n">
        <v>0.01512329</v>
      </c>
      <c r="AB179" t="n">
        <v>0.01512329</v>
      </c>
      <c r="AC179" t="n">
        <v>0.01512329</v>
      </c>
      <c r="AD179" t="n">
        <v>0.01512329</v>
      </c>
      <c r="AE179" t="n">
        <v>0.01512329</v>
      </c>
      <c r="AF179" t="n">
        <v>0.01512329</v>
      </c>
      <c r="AG179" t="n">
        <v>0.01512329</v>
      </c>
      <c r="AH179" t="n">
        <v>0.01512329</v>
      </c>
      <c r="AI179" t="n">
        <v>0.01512329</v>
      </c>
    </row>
    <row r="180">
      <c r="A180" t="n">
        <v>48</v>
      </c>
      <c r="B180" s="13" t="n">
        <v>44197</v>
      </c>
      <c r="C180" s="13" t="n">
        <v>45657</v>
      </c>
      <c r="D180" s="13" t="n">
        <v>44197</v>
      </c>
      <c r="E180" t="n">
        <v>0</v>
      </c>
      <c r="F180" s="13" t="n">
        <v>45657</v>
      </c>
      <c r="G180" t="n">
        <v>0.97</v>
      </c>
      <c r="H180" t="n">
        <v>0.27505479</v>
      </c>
      <c r="I180" t="n">
        <v>0.27811096</v>
      </c>
      <c r="J180" t="n">
        <v>0.28116712</v>
      </c>
      <c r="K180" t="n">
        <v>0.28116712</v>
      </c>
      <c r="L180" t="n">
        <v>0.10709863</v>
      </c>
      <c r="M180" t="n">
        <v>0.09673424999999999</v>
      </c>
      <c r="N180" t="n">
        <v>0.10709863</v>
      </c>
      <c r="O180" t="n">
        <v>0.10364384</v>
      </c>
      <c r="P180" t="n">
        <v>0.10709863</v>
      </c>
      <c r="Q180" t="n">
        <v>0.10364384</v>
      </c>
      <c r="R180" t="n">
        <v>0.10709863</v>
      </c>
      <c r="S180" t="n">
        <v>0.10709863</v>
      </c>
      <c r="T180" t="n">
        <v>0.10364384</v>
      </c>
      <c r="U180" t="n">
        <v>0.10709863</v>
      </c>
      <c r="V180" t="n">
        <v>0.10364384</v>
      </c>
      <c r="W180" t="n">
        <v>0.10709863</v>
      </c>
      <c r="X180" t="n">
        <v>0.0039863</v>
      </c>
      <c r="Y180" t="n">
        <v>0.0039863</v>
      </c>
      <c r="Z180" t="n">
        <v>0.0039863</v>
      </c>
      <c r="AA180" t="n">
        <v>0.0039863</v>
      </c>
      <c r="AB180" t="n">
        <v>0.0039863</v>
      </c>
      <c r="AC180" t="n">
        <v>0.0039863</v>
      </c>
      <c r="AD180" t="n">
        <v>0.0039863</v>
      </c>
      <c r="AE180" t="n">
        <v>0.0039863</v>
      </c>
      <c r="AF180" t="n">
        <v>0.0039863</v>
      </c>
      <c r="AG180" t="n">
        <v>0.0039863</v>
      </c>
      <c r="AH180" t="n">
        <v>0.0039863</v>
      </c>
      <c r="AI180" t="n">
        <v>0.0039863</v>
      </c>
    </row>
    <row r="181">
      <c r="A181" t="n">
        <v>48</v>
      </c>
      <c r="B181" s="13" t="n">
        <v>45658</v>
      </c>
      <c r="C181" s="13" t="n">
        <v>46022</v>
      </c>
      <c r="D181" s="13" t="n">
        <v>45658</v>
      </c>
      <c r="E181" t="n">
        <v>0</v>
      </c>
      <c r="F181" s="13" t="n">
        <v>46022</v>
      </c>
      <c r="G181" t="n">
        <v>1.37</v>
      </c>
      <c r="H181" t="n">
        <v>0.42226027</v>
      </c>
      <c r="I181" t="n">
        <v>0.42695205</v>
      </c>
      <c r="J181" t="n">
        <v>0.43164384</v>
      </c>
      <c r="K181" t="n">
        <v>0.43164384</v>
      </c>
      <c r="L181" t="n">
        <v>0.17453425</v>
      </c>
      <c r="M181" t="n">
        <v>0.15764384</v>
      </c>
      <c r="N181" t="n">
        <v>0.17453425</v>
      </c>
      <c r="O181" t="n">
        <v>0.16890411</v>
      </c>
      <c r="P181" t="n">
        <v>0.17453425</v>
      </c>
      <c r="Q181" t="n">
        <v>0.16890411</v>
      </c>
      <c r="R181" t="n">
        <v>0.17453425</v>
      </c>
      <c r="S181" t="n">
        <v>0.17453425</v>
      </c>
      <c r="T181" t="n">
        <v>0.16890411</v>
      </c>
      <c r="U181" t="n">
        <v>0.17453425</v>
      </c>
      <c r="V181" t="n">
        <v>0.16890411</v>
      </c>
      <c r="W181" t="n">
        <v>0.17453425</v>
      </c>
      <c r="X181" t="n">
        <v>0.00750685</v>
      </c>
      <c r="Y181" t="n">
        <v>0.00750685</v>
      </c>
      <c r="Z181" t="n">
        <v>0.00750685</v>
      </c>
      <c r="AA181" t="n">
        <v>0.00750685</v>
      </c>
      <c r="AB181" t="n">
        <v>0.00750685</v>
      </c>
      <c r="AC181" t="n">
        <v>0.00750685</v>
      </c>
      <c r="AD181" t="n">
        <v>0.00750685</v>
      </c>
      <c r="AE181" t="n">
        <v>0.00750685</v>
      </c>
      <c r="AF181" t="n">
        <v>0.00750685</v>
      </c>
      <c r="AG181" t="n">
        <v>0.00750685</v>
      </c>
      <c r="AH181" t="n">
        <v>0.00750685</v>
      </c>
      <c r="AI181" t="n">
        <v>0.00750685</v>
      </c>
    </row>
    <row r="182">
      <c r="A182" t="n">
        <v>48</v>
      </c>
      <c r="B182" s="13" t="n">
        <v>46023</v>
      </c>
      <c r="C182" s="13" t="n">
        <v>46387</v>
      </c>
      <c r="D182" s="13" t="n">
        <v>46023</v>
      </c>
      <c r="E182" t="n">
        <v>0</v>
      </c>
      <c r="F182" s="13" t="n">
        <v>46387</v>
      </c>
      <c r="G182" t="n">
        <v>2.77</v>
      </c>
      <c r="H182" t="n">
        <v>0.85376712</v>
      </c>
      <c r="I182" t="n">
        <v>0.86325342</v>
      </c>
      <c r="J182" t="n">
        <v>0.87273972</v>
      </c>
      <c r="K182" t="n">
        <v>0.87273972</v>
      </c>
      <c r="L182" t="n">
        <v>0.35289041</v>
      </c>
      <c r="M182" t="n">
        <v>0.31873972</v>
      </c>
      <c r="N182" t="n">
        <v>0.35289041</v>
      </c>
      <c r="O182" t="n">
        <v>0.34150684</v>
      </c>
      <c r="P182" t="n">
        <v>0.35289041</v>
      </c>
      <c r="Q182" t="n">
        <v>0.34150684</v>
      </c>
      <c r="R182" t="n">
        <v>0.35289041</v>
      </c>
      <c r="S182" t="n">
        <v>0.35289041</v>
      </c>
      <c r="T182" t="n">
        <v>0.34150684</v>
      </c>
      <c r="U182" t="n">
        <v>0.35289041</v>
      </c>
      <c r="V182" t="n">
        <v>0.34150684</v>
      </c>
      <c r="W182" t="n">
        <v>0.35289041</v>
      </c>
      <c r="X182" t="n">
        <v>0.01517808</v>
      </c>
      <c r="Y182" t="n">
        <v>0.01517808</v>
      </c>
      <c r="Z182" t="n">
        <v>0.01517808</v>
      </c>
      <c r="AA182" t="n">
        <v>0.01517808</v>
      </c>
      <c r="AB182" t="n">
        <v>0.01517808</v>
      </c>
      <c r="AC182" t="n">
        <v>0.01517808</v>
      </c>
      <c r="AD182" t="n">
        <v>0.01517808</v>
      </c>
      <c r="AE182" t="n">
        <v>0.01517808</v>
      </c>
      <c r="AF182" t="n">
        <v>0.01517808</v>
      </c>
      <c r="AG182" t="n">
        <v>0.01517808</v>
      </c>
      <c r="AH182" t="n">
        <v>0.01517808</v>
      </c>
      <c r="AI182" t="n">
        <v>0.01517808</v>
      </c>
    </row>
    <row r="183">
      <c r="A183" t="n">
        <v>48</v>
      </c>
      <c r="B183" s="13" t="n">
        <v>46388</v>
      </c>
      <c r="C183" s="13" t="n">
        <v>2958465</v>
      </c>
      <c r="D183" s="13" t="n">
        <v>46388</v>
      </c>
      <c r="E183" t="n">
        <v>1</v>
      </c>
      <c r="G183" t="n">
        <v>2.76</v>
      </c>
      <c r="H183" t="n">
        <v>0.85068493</v>
      </c>
      <c r="I183" t="n">
        <v>0.86013699</v>
      </c>
      <c r="J183" t="n">
        <v>0.86958904</v>
      </c>
      <c r="K183" t="n">
        <v>0.86958904</v>
      </c>
      <c r="L183" t="n">
        <v>0.35161644</v>
      </c>
      <c r="M183" t="n">
        <v>0.31758904</v>
      </c>
      <c r="N183" t="n">
        <v>0.35161644</v>
      </c>
      <c r="O183" t="n">
        <v>0.34027397</v>
      </c>
      <c r="P183" t="n">
        <v>0.35161644</v>
      </c>
      <c r="Q183" t="n">
        <v>0.34027397</v>
      </c>
      <c r="R183" t="n">
        <v>0.35161644</v>
      </c>
      <c r="S183" t="n">
        <v>0.35161644</v>
      </c>
      <c r="T183" t="n">
        <v>0.34027397</v>
      </c>
      <c r="U183" t="n">
        <v>0.35161644</v>
      </c>
      <c r="V183" t="n">
        <v>0.34027397</v>
      </c>
      <c r="W183" t="n">
        <v>0.35161644</v>
      </c>
      <c r="X183" t="n">
        <v>0.01512329</v>
      </c>
      <c r="Y183" t="n">
        <v>0.01512329</v>
      </c>
      <c r="Z183" t="n">
        <v>0.01512329</v>
      </c>
      <c r="AA183" t="n">
        <v>0.01512329</v>
      </c>
      <c r="AB183" t="n">
        <v>0.01512329</v>
      </c>
      <c r="AC183" t="n">
        <v>0.01512329</v>
      </c>
      <c r="AD183" t="n">
        <v>0.01512329</v>
      </c>
      <c r="AE183" t="n">
        <v>0.01512329</v>
      </c>
      <c r="AF183" t="n">
        <v>0.01512329</v>
      </c>
      <c r="AG183" t="n">
        <v>0.01512329</v>
      </c>
      <c r="AH183" t="n">
        <v>0.01512329</v>
      </c>
      <c r="AI183" t="n">
        <v>0.01512329</v>
      </c>
    </row>
    <row r="184">
      <c r="A184" t="n">
        <v>49</v>
      </c>
      <c r="B184" s="13" t="n">
        <v>44197</v>
      </c>
      <c r="C184" s="13" t="n">
        <v>45657</v>
      </c>
      <c r="D184" s="13" t="n">
        <v>44197</v>
      </c>
      <c r="E184" t="n">
        <v>0</v>
      </c>
      <c r="F184" s="13" t="n">
        <v>45657</v>
      </c>
      <c r="G184" t="n">
        <v>1.23</v>
      </c>
      <c r="H184" t="n">
        <v>0.34878082</v>
      </c>
      <c r="I184" t="n">
        <v>0.35265616</v>
      </c>
      <c r="J184" t="n">
        <v>0.35653151</v>
      </c>
      <c r="K184" t="n">
        <v>0.35653151</v>
      </c>
      <c r="L184" t="n">
        <v>0.13580548</v>
      </c>
      <c r="M184" t="n">
        <v>0.12266301</v>
      </c>
      <c r="N184" t="n">
        <v>0.13580548</v>
      </c>
      <c r="O184" t="n">
        <v>0.13142466</v>
      </c>
      <c r="P184" t="n">
        <v>0.13580548</v>
      </c>
      <c r="Q184" t="n">
        <v>0.13142466</v>
      </c>
      <c r="R184" t="n">
        <v>0.13580548</v>
      </c>
      <c r="S184" t="n">
        <v>0.13580548</v>
      </c>
      <c r="T184" t="n">
        <v>0.13142466</v>
      </c>
      <c r="U184" t="n">
        <v>0.13580548</v>
      </c>
      <c r="V184" t="n">
        <v>0.13142466</v>
      </c>
      <c r="W184" t="n">
        <v>0.13580548</v>
      </c>
      <c r="X184" t="n">
        <v>0.00505479</v>
      </c>
      <c r="Y184" t="n">
        <v>0.00505479</v>
      </c>
      <c r="Z184" t="n">
        <v>0.00505479</v>
      </c>
      <c r="AA184" t="n">
        <v>0.00505479</v>
      </c>
      <c r="AB184" t="n">
        <v>0.00505479</v>
      </c>
      <c r="AC184" t="n">
        <v>0.00505479</v>
      </c>
      <c r="AD184" t="n">
        <v>0.00505479</v>
      </c>
      <c r="AE184" t="n">
        <v>0.00505479</v>
      </c>
      <c r="AF184" t="n">
        <v>0.00505479</v>
      </c>
      <c r="AG184" t="n">
        <v>0.00505479</v>
      </c>
      <c r="AH184" t="n">
        <v>0.00505479</v>
      </c>
      <c r="AI184" t="n">
        <v>0.00505479</v>
      </c>
    </row>
    <row r="185">
      <c r="A185" t="n">
        <v>49</v>
      </c>
      <c r="B185" s="13" t="n">
        <v>45658</v>
      </c>
      <c r="C185" s="13" t="n">
        <v>46022</v>
      </c>
      <c r="D185" s="13" t="n">
        <v>45658</v>
      </c>
      <c r="E185" t="n">
        <v>0</v>
      </c>
      <c r="F185" s="13" t="n">
        <v>46022</v>
      </c>
      <c r="G185" t="n">
        <v>2.15</v>
      </c>
      <c r="H185" t="n">
        <v>0.6626712300000001</v>
      </c>
      <c r="I185" t="n">
        <v>0.6700342500000001</v>
      </c>
      <c r="J185" t="n">
        <v>0.67739726</v>
      </c>
      <c r="K185" t="n">
        <v>0.67739726</v>
      </c>
      <c r="L185" t="n">
        <v>0.27390411</v>
      </c>
      <c r="M185" t="n">
        <v>0.24739726</v>
      </c>
      <c r="N185" t="n">
        <v>0.27390411</v>
      </c>
      <c r="O185" t="n">
        <v>0.26506849</v>
      </c>
      <c r="P185" t="n">
        <v>0.27390411</v>
      </c>
      <c r="Q185" t="n">
        <v>0.26506849</v>
      </c>
      <c r="R185" t="n">
        <v>0.27390411</v>
      </c>
      <c r="S185" t="n">
        <v>0.27390411</v>
      </c>
      <c r="T185" t="n">
        <v>0.26506849</v>
      </c>
      <c r="U185" t="n">
        <v>0.27390411</v>
      </c>
      <c r="V185" t="n">
        <v>0.26506849</v>
      </c>
      <c r="W185" t="n">
        <v>0.27390411</v>
      </c>
      <c r="X185" t="n">
        <v>0.01178082</v>
      </c>
      <c r="Y185" t="n">
        <v>0.01178082</v>
      </c>
      <c r="Z185" t="n">
        <v>0.01178082</v>
      </c>
      <c r="AA185" t="n">
        <v>0.01178082</v>
      </c>
      <c r="AB185" t="n">
        <v>0.01178082</v>
      </c>
      <c r="AC185" t="n">
        <v>0.01178082</v>
      </c>
      <c r="AD185" t="n">
        <v>0.01178082</v>
      </c>
      <c r="AE185" t="n">
        <v>0.01178082</v>
      </c>
      <c r="AF185" t="n">
        <v>0.01178082</v>
      </c>
      <c r="AG185" t="n">
        <v>0.01178082</v>
      </c>
      <c r="AH185" t="n">
        <v>0.01178082</v>
      </c>
      <c r="AI185" t="n">
        <v>0.01178082</v>
      </c>
    </row>
    <row r="186">
      <c r="A186" t="n">
        <v>49</v>
      </c>
      <c r="B186" s="13" t="n">
        <v>46023</v>
      </c>
      <c r="C186" s="13" t="n">
        <v>46387</v>
      </c>
      <c r="D186" s="13" t="n">
        <v>46023</v>
      </c>
      <c r="E186" t="n">
        <v>0</v>
      </c>
      <c r="F186" s="13" t="n">
        <v>46387</v>
      </c>
      <c r="G186" t="n">
        <v>3.74</v>
      </c>
      <c r="H186" t="n">
        <v>1.15273972</v>
      </c>
      <c r="I186" t="n">
        <v>1.16554794</v>
      </c>
      <c r="J186" t="n">
        <v>1.17835616</v>
      </c>
      <c r="K186" t="n">
        <v>1.17835616</v>
      </c>
      <c r="L186" t="n">
        <v>0.47646575</v>
      </c>
      <c r="M186" t="n">
        <v>0.43035616</v>
      </c>
      <c r="N186" t="n">
        <v>0.47646575</v>
      </c>
      <c r="O186" t="n">
        <v>0.46109589</v>
      </c>
      <c r="P186" t="n">
        <v>0.47646575</v>
      </c>
      <c r="Q186" t="n">
        <v>0.46109589</v>
      </c>
      <c r="R186" t="n">
        <v>0.47646575</v>
      </c>
      <c r="S186" t="n">
        <v>0.47646575</v>
      </c>
      <c r="T186" t="n">
        <v>0.46109589</v>
      </c>
      <c r="U186" t="n">
        <v>0.47646575</v>
      </c>
      <c r="V186" t="n">
        <v>0.46109589</v>
      </c>
      <c r="W186" t="n">
        <v>0.47646575</v>
      </c>
      <c r="X186" t="n">
        <v>0.02049315</v>
      </c>
      <c r="Y186" t="n">
        <v>0.02049315</v>
      </c>
      <c r="Z186" t="n">
        <v>0.02049315</v>
      </c>
      <c r="AA186" t="n">
        <v>0.02049315</v>
      </c>
      <c r="AB186" t="n">
        <v>0.02049315</v>
      </c>
      <c r="AC186" t="n">
        <v>0.02049315</v>
      </c>
      <c r="AD186" t="n">
        <v>0.02049315</v>
      </c>
      <c r="AE186" t="n">
        <v>0.02049315</v>
      </c>
      <c r="AF186" t="n">
        <v>0.02049315</v>
      </c>
      <c r="AG186" t="n">
        <v>0.02049315</v>
      </c>
      <c r="AH186" t="n">
        <v>0.02049315</v>
      </c>
      <c r="AI186" t="n">
        <v>0.02049315</v>
      </c>
    </row>
    <row r="187">
      <c r="A187" t="n">
        <v>49</v>
      </c>
      <c r="B187" s="13" t="n">
        <v>46388</v>
      </c>
      <c r="C187" s="13" t="n">
        <v>2958465</v>
      </c>
      <c r="D187" s="13" t="n">
        <v>46388</v>
      </c>
      <c r="E187" t="n">
        <v>1</v>
      </c>
      <c r="G187" t="n">
        <v>3.88</v>
      </c>
      <c r="H187" t="n">
        <v>1.19589041</v>
      </c>
      <c r="I187" t="n">
        <v>1.20917808</v>
      </c>
      <c r="J187" t="n">
        <v>1.22246575</v>
      </c>
      <c r="K187" t="n">
        <v>1.22246575</v>
      </c>
      <c r="L187" t="n">
        <v>0.49430137</v>
      </c>
      <c r="M187" t="n">
        <v>0.44646575</v>
      </c>
      <c r="N187" t="n">
        <v>0.49430137</v>
      </c>
      <c r="O187" t="n">
        <v>0.47835616</v>
      </c>
      <c r="P187" t="n">
        <v>0.49430137</v>
      </c>
      <c r="Q187" t="n">
        <v>0.47835616</v>
      </c>
      <c r="R187" t="n">
        <v>0.49430137</v>
      </c>
      <c r="S187" t="n">
        <v>0.49430137</v>
      </c>
      <c r="T187" t="n">
        <v>0.47835616</v>
      </c>
      <c r="U187" t="n">
        <v>0.49430137</v>
      </c>
      <c r="V187" t="n">
        <v>0.47835616</v>
      </c>
      <c r="W187" t="n">
        <v>0.49430137</v>
      </c>
      <c r="X187" t="n">
        <v>0.02126027</v>
      </c>
      <c r="Y187" t="n">
        <v>0.02126027</v>
      </c>
      <c r="Z187" t="n">
        <v>0.02126027</v>
      </c>
      <c r="AA187" t="n">
        <v>0.02126027</v>
      </c>
      <c r="AB187" t="n">
        <v>0.02126027</v>
      </c>
      <c r="AC187" t="n">
        <v>0.02126027</v>
      </c>
      <c r="AD187" t="n">
        <v>0.02126027</v>
      </c>
      <c r="AE187" t="n">
        <v>0.02126027</v>
      </c>
      <c r="AF187" t="n">
        <v>0.02126027</v>
      </c>
      <c r="AG187" t="n">
        <v>0.02126027</v>
      </c>
      <c r="AH187" t="n">
        <v>0.02126027</v>
      </c>
      <c r="AI187" t="n">
        <v>0.02126027</v>
      </c>
    </row>
    <row r="188">
      <c r="A188" t="n">
        <v>50</v>
      </c>
      <c r="B188" s="13" t="n">
        <v>44197</v>
      </c>
      <c r="C188" s="13" t="n">
        <v>45657</v>
      </c>
      <c r="D188" s="13" t="n">
        <v>44197</v>
      </c>
      <c r="E188" t="n">
        <v>0</v>
      </c>
      <c r="F188" s="13" t="n">
        <v>45657</v>
      </c>
      <c r="G188" t="n">
        <v>1.23</v>
      </c>
      <c r="H188" t="n">
        <v>0.34878082</v>
      </c>
      <c r="I188" t="n">
        <v>0.35265616</v>
      </c>
      <c r="J188" t="n">
        <v>0.35653151</v>
      </c>
      <c r="K188" t="n">
        <v>0.35653151</v>
      </c>
      <c r="L188" t="n">
        <v>0.13580548</v>
      </c>
      <c r="M188" t="n">
        <v>0.12266301</v>
      </c>
      <c r="N188" t="n">
        <v>0.13580548</v>
      </c>
      <c r="O188" t="n">
        <v>0.13142466</v>
      </c>
      <c r="P188" t="n">
        <v>0.13580548</v>
      </c>
      <c r="Q188" t="n">
        <v>0.13142466</v>
      </c>
      <c r="R188" t="n">
        <v>0.13580548</v>
      </c>
      <c r="S188" t="n">
        <v>0.13580548</v>
      </c>
      <c r="T188" t="n">
        <v>0.13142466</v>
      </c>
      <c r="U188" t="n">
        <v>0.13580548</v>
      </c>
      <c r="V188" t="n">
        <v>0.13142466</v>
      </c>
      <c r="W188" t="n">
        <v>0.13580548</v>
      </c>
      <c r="X188" t="n">
        <v>0.00505479</v>
      </c>
      <c r="Y188" t="n">
        <v>0.00505479</v>
      </c>
      <c r="Z188" t="n">
        <v>0.00505479</v>
      </c>
      <c r="AA188" t="n">
        <v>0.00505479</v>
      </c>
      <c r="AB188" t="n">
        <v>0.00505479</v>
      </c>
      <c r="AC188" t="n">
        <v>0.00505479</v>
      </c>
      <c r="AD188" t="n">
        <v>0.00505479</v>
      </c>
      <c r="AE188" t="n">
        <v>0.00505479</v>
      </c>
      <c r="AF188" t="n">
        <v>0.00505479</v>
      </c>
      <c r="AG188" t="n">
        <v>0.00505479</v>
      </c>
      <c r="AH188" t="n">
        <v>0.00505479</v>
      </c>
      <c r="AI188" t="n">
        <v>0.00505479</v>
      </c>
    </row>
    <row r="189">
      <c r="A189" t="n">
        <v>50</v>
      </c>
      <c r="B189" s="13" t="n">
        <v>45658</v>
      </c>
      <c r="C189" s="13" t="n">
        <v>46022</v>
      </c>
      <c r="D189" s="13" t="n">
        <v>45658</v>
      </c>
      <c r="E189" t="n">
        <v>0</v>
      </c>
      <c r="F189" s="13" t="n">
        <v>46022</v>
      </c>
      <c r="G189" t="n">
        <v>2.14</v>
      </c>
      <c r="H189" t="n">
        <v>0.65958904</v>
      </c>
      <c r="I189" t="n">
        <v>0.6669178100000001</v>
      </c>
      <c r="J189" t="n">
        <v>0.67424658</v>
      </c>
      <c r="K189" t="n">
        <v>0.67424658</v>
      </c>
      <c r="L189" t="n">
        <v>0.27263014</v>
      </c>
      <c r="M189" t="n">
        <v>0.24624658</v>
      </c>
      <c r="N189" t="n">
        <v>0.27263014</v>
      </c>
      <c r="O189" t="n">
        <v>0.26383562</v>
      </c>
      <c r="P189" t="n">
        <v>0.27263014</v>
      </c>
      <c r="Q189" t="n">
        <v>0.26383562</v>
      </c>
      <c r="R189" t="n">
        <v>0.27263014</v>
      </c>
      <c r="S189" t="n">
        <v>0.27263014</v>
      </c>
      <c r="T189" t="n">
        <v>0.26383562</v>
      </c>
      <c r="U189" t="n">
        <v>0.27263014</v>
      </c>
      <c r="V189" t="n">
        <v>0.26383562</v>
      </c>
      <c r="W189" t="n">
        <v>0.27263014</v>
      </c>
      <c r="X189" t="n">
        <v>0.01172603</v>
      </c>
      <c r="Y189" t="n">
        <v>0.01172603</v>
      </c>
      <c r="Z189" t="n">
        <v>0.01172603</v>
      </c>
      <c r="AA189" t="n">
        <v>0.01172603</v>
      </c>
      <c r="AB189" t="n">
        <v>0.01172603</v>
      </c>
      <c r="AC189" t="n">
        <v>0.01172603</v>
      </c>
      <c r="AD189" t="n">
        <v>0.01172603</v>
      </c>
      <c r="AE189" t="n">
        <v>0.01172603</v>
      </c>
      <c r="AF189" t="n">
        <v>0.01172603</v>
      </c>
      <c r="AG189" t="n">
        <v>0.01172603</v>
      </c>
      <c r="AH189" t="n">
        <v>0.01172603</v>
      </c>
      <c r="AI189" t="n">
        <v>0.01172603</v>
      </c>
    </row>
    <row r="190">
      <c r="A190" t="n">
        <v>50</v>
      </c>
      <c r="B190" s="13" t="n">
        <v>46023</v>
      </c>
      <c r="C190" s="13" t="n">
        <v>46387</v>
      </c>
      <c r="D190" s="13" t="n">
        <v>46023</v>
      </c>
      <c r="E190" t="n">
        <v>0</v>
      </c>
      <c r="F190" s="13" t="n">
        <v>46387</v>
      </c>
      <c r="G190" t="n">
        <v>3.97</v>
      </c>
      <c r="H190" t="n">
        <v>1.22363013</v>
      </c>
      <c r="I190" t="n">
        <v>1.23722602</v>
      </c>
      <c r="J190" t="n">
        <v>1.25082191</v>
      </c>
      <c r="K190" t="n">
        <v>1.25082191</v>
      </c>
      <c r="L190" t="n">
        <v>0.50576712</v>
      </c>
      <c r="M190" t="n">
        <v>0.45682191</v>
      </c>
      <c r="N190" t="n">
        <v>0.50576712</v>
      </c>
      <c r="O190" t="n">
        <v>0.48945205</v>
      </c>
      <c r="P190" t="n">
        <v>0.50576712</v>
      </c>
      <c r="Q190" t="n">
        <v>0.48945205</v>
      </c>
      <c r="R190" t="n">
        <v>0.50576712</v>
      </c>
      <c r="S190" t="n">
        <v>0.50576712</v>
      </c>
      <c r="T190" t="n">
        <v>0.48945205</v>
      </c>
      <c r="U190" t="n">
        <v>0.50576712</v>
      </c>
      <c r="V190" t="n">
        <v>0.48945205</v>
      </c>
      <c r="W190" t="n">
        <v>0.50576712</v>
      </c>
      <c r="X190" t="n">
        <v>0.02175342</v>
      </c>
      <c r="Y190" t="n">
        <v>0.02175342</v>
      </c>
      <c r="Z190" t="n">
        <v>0.02175342</v>
      </c>
      <c r="AA190" t="n">
        <v>0.02175342</v>
      </c>
      <c r="AB190" t="n">
        <v>0.02175342</v>
      </c>
      <c r="AC190" t="n">
        <v>0.02175342</v>
      </c>
      <c r="AD190" t="n">
        <v>0.02175342</v>
      </c>
      <c r="AE190" t="n">
        <v>0.02175342</v>
      </c>
      <c r="AF190" t="n">
        <v>0.02175342</v>
      </c>
      <c r="AG190" t="n">
        <v>0.02175342</v>
      </c>
      <c r="AH190" t="n">
        <v>0.02175342</v>
      </c>
      <c r="AI190" t="n">
        <v>0.02175342</v>
      </c>
    </row>
    <row r="191">
      <c r="A191" t="n">
        <v>50</v>
      </c>
      <c r="B191" s="13" t="n">
        <v>46388</v>
      </c>
      <c r="C191" s="13" t="n">
        <v>2958465</v>
      </c>
      <c r="D191" s="13" t="n">
        <v>46388</v>
      </c>
      <c r="E191" t="n">
        <v>1</v>
      </c>
      <c r="G191" t="n">
        <v>4.1</v>
      </c>
      <c r="H191" t="n">
        <v>1.26369863</v>
      </c>
      <c r="I191" t="n">
        <v>1.27773973</v>
      </c>
      <c r="J191" t="n">
        <v>1.29178082</v>
      </c>
      <c r="K191" t="n">
        <v>1.29178082</v>
      </c>
      <c r="L191" t="n">
        <v>0.52232877</v>
      </c>
      <c r="M191" t="n">
        <v>0.47178082</v>
      </c>
      <c r="N191" t="n">
        <v>0.52232877</v>
      </c>
      <c r="O191" t="n">
        <v>0.5054794500000001</v>
      </c>
      <c r="P191" t="n">
        <v>0.52232877</v>
      </c>
      <c r="Q191" t="n">
        <v>0.5054794500000001</v>
      </c>
      <c r="R191" t="n">
        <v>0.52232877</v>
      </c>
      <c r="S191" t="n">
        <v>0.52232877</v>
      </c>
      <c r="T191" t="n">
        <v>0.5054794500000001</v>
      </c>
      <c r="U191" t="n">
        <v>0.52232877</v>
      </c>
      <c r="V191" t="n">
        <v>0.5054794500000001</v>
      </c>
      <c r="W191" t="n">
        <v>0.52232877</v>
      </c>
      <c r="X191" t="n">
        <v>0.02246575</v>
      </c>
      <c r="Y191" t="n">
        <v>0.02246575</v>
      </c>
      <c r="Z191" t="n">
        <v>0.02246575</v>
      </c>
      <c r="AA191" t="n">
        <v>0.02246575</v>
      </c>
      <c r="AB191" t="n">
        <v>0.02246575</v>
      </c>
      <c r="AC191" t="n">
        <v>0.02246575</v>
      </c>
      <c r="AD191" t="n">
        <v>0.02246575</v>
      </c>
      <c r="AE191" t="n">
        <v>0.02246575</v>
      </c>
      <c r="AF191" t="n">
        <v>0.02246575</v>
      </c>
      <c r="AG191" t="n">
        <v>0.02246575</v>
      </c>
      <c r="AH191" t="n">
        <v>0.02246575</v>
      </c>
      <c r="AI191" t="n">
        <v>0.02246575</v>
      </c>
    </row>
    <row r="192">
      <c r="A192" t="n">
        <v>51</v>
      </c>
      <c r="B192" s="13" t="n">
        <v>44197</v>
      </c>
      <c r="C192" s="13" t="n">
        <v>45657</v>
      </c>
      <c r="D192" s="13" t="n">
        <v>44197</v>
      </c>
      <c r="E192" t="n">
        <v>0</v>
      </c>
      <c r="F192" s="13" t="n">
        <v>45657</v>
      </c>
      <c r="G192" t="n">
        <v>1.9</v>
      </c>
      <c r="H192" t="n">
        <v>0.53876712</v>
      </c>
      <c r="I192" t="n">
        <v>0.54475342</v>
      </c>
      <c r="J192" t="n">
        <v>0.55073973</v>
      </c>
      <c r="K192" t="n">
        <v>0.55073973</v>
      </c>
      <c r="L192" t="n">
        <v>0.20978082</v>
      </c>
      <c r="M192" t="n">
        <v>0.18947945</v>
      </c>
      <c r="N192" t="n">
        <v>0.20978082</v>
      </c>
      <c r="O192" t="n">
        <v>0.2030137</v>
      </c>
      <c r="P192" t="n">
        <v>0.20978082</v>
      </c>
      <c r="Q192" t="n">
        <v>0.2030137</v>
      </c>
      <c r="R192" t="n">
        <v>0.20978082</v>
      </c>
      <c r="S192" t="n">
        <v>0.20978082</v>
      </c>
      <c r="T192" t="n">
        <v>0.2030137</v>
      </c>
      <c r="U192" t="n">
        <v>0.20978082</v>
      </c>
      <c r="V192" t="n">
        <v>0.2030137</v>
      </c>
      <c r="W192" t="n">
        <v>0.20978082</v>
      </c>
      <c r="X192" t="n">
        <v>0.00780822</v>
      </c>
      <c r="Y192" t="n">
        <v>0.00780822</v>
      </c>
      <c r="Z192" t="n">
        <v>0.00780822</v>
      </c>
      <c r="AA192" t="n">
        <v>0.00780822</v>
      </c>
      <c r="AB192" t="n">
        <v>0.00780822</v>
      </c>
      <c r="AC192" t="n">
        <v>0.00780822</v>
      </c>
      <c r="AD192" t="n">
        <v>0.00780822</v>
      </c>
      <c r="AE192" t="n">
        <v>0.00780822</v>
      </c>
      <c r="AF192" t="n">
        <v>0.00780822</v>
      </c>
      <c r="AG192" t="n">
        <v>0.00780822</v>
      </c>
      <c r="AH192" t="n">
        <v>0.00780822</v>
      </c>
      <c r="AI192" t="n">
        <v>0.00780822</v>
      </c>
    </row>
    <row r="193">
      <c r="A193" t="n">
        <v>51</v>
      </c>
      <c r="B193" s="13" t="n">
        <v>45658</v>
      </c>
      <c r="C193" s="13" t="n">
        <v>46022</v>
      </c>
      <c r="D193" s="13" t="n">
        <v>45658</v>
      </c>
      <c r="E193" t="n">
        <v>0</v>
      </c>
      <c r="F193" s="13" t="n">
        <v>46022</v>
      </c>
      <c r="G193" t="n">
        <v>3.74</v>
      </c>
      <c r="H193" t="n">
        <v>1.15273973</v>
      </c>
      <c r="I193" t="n">
        <v>1.16554795</v>
      </c>
      <c r="J193" t="n">
        <v>1.17835616</v>
      </c>
      <c r="K193" t="n">
        <v>1.17835616</v>
      </c>
      <c r="L193" t="n">
        <v>0.47646575</v>
      </c>
      <c r="M193" t="n">
        <v>0.43035616</v>
      </c>
      <c r="N193" t="n">
        <v>0.47646575</v>
      </c>
      <c r="O193" t="n">
        <v>0.46109589</v>
      </c>
      <c r="P193" t="n">
        <v>0.47646575</v>
      </c>
      <c r="Q193" t="n">
        <v>0.46109589</v>
      </c>
      <c r="R193" t="n">
        <v>0.47646575</v>
      </c>
      <c r="S193" t="n">
        <v>0.47646575</v>
      </c>
      <c r="T193" t="n">
        <v>0.46109589</v>
      </c>
      <c r="U193" t="n">
        <v>0.47646575</v>
      </c>
      <c r="V193" t="n">
        <v>0.46109589</v>
      </c>
      <c r="W193" t="n">
        <v>0.47646575</v>
      </c>
      <c r="X193" t="n">
        <v>0.02049315</v>
      </c>
      <c r="Y193" t="n">
        <v>0.02049315</v>
      </c>
      <c r="Z193" t="n">
        <v>0.02049315</v>
      </c>
      <c r="AA193" t="n">
        <v>0.02049315</v>
      </c>
      <c r="AB193" t="n">
        <v>0.02049315</v>
      </c>
      <c r="AC193" t="n">
        <v>0.02049315</v>
      </c>
      <c r="AD193" t="n">
        <v>0.02049315</v>
      </c>
      <c r="AE193" t="n">
        <v>0.02049315</v>
      </c>
      <c r="AF193" t="n">
        <v>0.02049315</v>
      </c>
      <c r="AG193" t="n">
        <v>0.02049315</v>
      </c>
      <c r="AH193" t="n">
        <v>0.02049315</v>
      </c>
      <c r="AI193" t="n">
        <v>0.02049315</v>
      </c>
    </row>
    <row r="194">
      <c r="A194" t="n">
        <v>51</v>
      </c>
      <c r="B194" s="13" t="n">
        <v>46023</v>
      </c>
      <c r="C194" s="13" t="n">
        <v>46387</v>
      </c>
      <c r="D194" s="13" t="n">
        <v>46023</v>
      </c>
      <c r="E194" t="n">
        <v>0</v>
      </c>
      <c r="F194" s="13" t="n">
        <v>46387</v>
      </c>
      <c r="G194" t="n">
        <v>6.55</v>
      </c>
      <c r="H194" t="n">
        <v>2.01883561</v>
      </c>
      <c r="I194" t="n">
        <v>2.04126712</v>
      </c>
      <c r="J194" t="n">
        <v>2.06369863</v>
      </c>
      <c r="K194" t="n">
        <v>2.06369863</v>
      </c>
      <c r="L194" t="n">
        <v>0.83445205</v>
      </c>
      <c r="M194" t="n">
        <v>0.75369863</v>
      </c>
      <c r="N194" t="n">
        <v>0.83445205</v>
      </c>
      <c r="O194" t="n">
        <v>0.80753424</v>
      </c>
      <c r="P194" t="n">
        <v>0.83445205</v>
      </c>
      <c r="Q194" t="n">
        <v>0.80753424</v>
      </c>
      <c r="R194" t="n">
        <v>0.83445205</v>
      </c>
      <c r="S194" t="n">
        <v>0.83445205</v>
      </c>
      <c r="T194" t="n">
        <v>0.80753424</v>
      </c>
      <c r="U194" t="n">
        <v>0.83445205</v>
      </c>
      <c r="V194" t="n">
        <v>0.80753424</v>
      </c>
      <c r="W194" t="n">
        <v>0.83445205</v>
      </c>
      <c r="X194" t="n">
        <v>0.03589041</v>
      </c>
      <c r="Y194" t="n">
        <v>0.03589041</v>
      </c>
      <c r="Z194" t="n">
        <v>0.03589041</v>
      </c>
      <c r="AA194" t="n">
        <v>0.03589041</v>
      </c>
      <c r="AB194" t="n">
        <v>0.03589041</v>
      </c>
      <c r="AC194" t="n">
        <v>0.03589041</v>
      </c>
      <c r="AD194" t="n">
        <v>0.03589041</v>
      </c>
      <c r="AE194" t="n">
        <v>0.03589041</v>
      </c>
      <c r="AF194" t="n">
        <v>0.03589041</v>
      </c>
      <c r="AG194" t="n">
        <v>0.03589041</v>
      </c>
      <c r="AH194" t="n">
        <v>0.03589041</v>
      </c>
      <c r="AI194" t="n">
        <v>0.03589041</v>
      </c>
    </row>
    <row r="195">
      <c r="A195" t="n">
        <v>51</v>
      </c>
      <c r="B195" s="13" t="n">
        <v>46388</v>
      </c>
      <c r="C195" s="13" t="n">
        <v>2958465</v>
      </c>
      <c r="D195" s="13" t="n">
        <v>46388</v>
      </c>
      <c r="E195" t="n">
        <v>1</v>
      </c>
      <c r="G195" t="n">
        <v>7.34</v>
      </c>
      <c r="H195" t="n">
        <v>2.26232877</v>
      </c>
      <c r="I195" t="n">
        <v>2.28746575</v>
      </c>
      <c r="J195" t="n">
        <v>2.31260274</v>
      </c>
      <c r="K195" t="n">
        <v>2.31260274</v>
      </c>
      <c r="L195" t="n">
        <v>0.93509589</v>
      </c>
      <c r="M195" t="n">
        <v>0.84460274</v>
      </c>
      <c r="N195" t="n">
        <v>0.93509589</v>
      </c>
      <c r="O195" t="n">
        <v>0.9049315100000001</v>
      </c>
      <c r="P195" t="n">
        <v>0.93509589</v>
      </c>
      <c r="Q195" t="n">
        <v>0.9049315100000001</v>
      </c>
      <c r="R195" t="n">
        <v>0.93509589</v>
      </c>
      <c r="S195" t="n">
        <v>0.93509589</v>
      </c>
      <c r="T195" t="n">
        <v>0.9049315100000001</v>
      </c>
      <c r="U195" t="n">
        <v>0.93509589</v>
      </c>
      <c r="V195" t="n">
        <v>0.9049315100000001</v>
      </c>
      <c r="W195" t="n">
        <v>0.93509589</v>
      </c>
      <c r="X195" t="n">
        <v>0.04021918</v>
      </c>
      <c r="Y195" t="n">
        <v>0.04021918</v>
      </c>
      <c r="Z195" t="n">
        <v>0.04021918</v>
      </c>
      <c r="AA195" t="n">
        <v>0.04021918</v>
      </c>
      <c r="AB195" t="n">
        <v>0.04021918</v>
      </c>
      <c r="AC195" t="n">
        <v>0.04021918</v>
      </c>
      <c r="AD195" t="n">
        <v>0.04021918</v>
      </c>
      <c r="AE195" t="n">
        <v>0.04021918</v>
      </c>
      <c r="AF195" t="n">
        <v>0.04021918</v>
      </c>
      <c r="AG195" t="n">
        <v>0.04021918</v>
      </c>
      <c r="AH195" t="n">
        <v>0.04021918</v>
      </c>
      <c r="AI195" t="n">
        <v>0.04021918</v>
      </c>
    </row>
    <row r="196">
      <c r="A196" t="n">
        <v>52</v>
      </c>
      <c r="B196" s="13" t="n">
        <v>44197</v>
      </c>
      <c r="C196" s="13" t="n">
        <v>45657</v>
      </c>
      <c r="D196" s="13" t="n">
        <v>44197</v>
      </c>
      <c r="E196" t="n">
        <v>0</v>
      </c>
      <c r="F196" s="13" t="n">
        <v>45657</v>
      </c>
      <c r="G196" t="n">
        <v>3.26</v>
      </c>
      <c r="H196" t="n">
        <v>0.92441096</v>
      </c>
      <c r="I196" t="n">
        <v>0.93468219</v>
      </c>
      <c r="J196" t="n">
        <v>0.94495342</v>
      </c>
      <c r="K196" t="n">
        <v>0.94495342</v>
      </c>
      <c r="L196" t="n">
        <v>0.35993973</v>
      </c>
      <c r="M196" t="n">
        <v>0.32510685</v>
      </c>
      <c r="N196" t="n">
        <v>0.35993973</v>
      </c>
      <c r="O196" t="n">
        <v>0.34832877</v>
      </c>
      <c r="P196" t="n">
        <v>0.35993973</v>
      </c>
      <c r="Q196" t="n">
        <v>0.34832877</v>
      </c>
      <c r="R196" t="n">
        <v>0.35993973</v>
      </c>
      <c r="S196" t="n">
        <v>0.35993973</v>
      </c>
      <c r="T196" t="n">
        <v>0.34832877</v>
      </c>
      <c r="U196" t="n">
        <v>0.35993973</v>
      </c>
      <c r="V196" t="n">
        <v>0.34832877</v>
      </c>
      <c r="W196" t="n">
        <v>0.35993973</v>
      </c>
      <c r="X196" t="n">
        <v>0.01339726</v>
      </c>
      <c r="Y196" t="n">
        <v>0.01339726</v>
      </c>
      <c r="Z196" t="n">
        <v>0.01339726</v>
      </c>
      <c r="AA196" t="n">
        <v>0.01339726</v>
      </c>
      <c r="AB196" t="n">
        <v>0.01339726</v>
      </c>
      <c r="AC196" t="n">
        <v>0.01339726</v>
      </c>
      <c r="AD196" t="n">
        <v>0.01339726</v>
      </c>
      <c r="AE196" t="n">
        <v>0.01339726</v>
      </c>
      <c r="AF196" t="n">
        <v>0.01339726</v>
      </c>
      <c r="AG196" t="n">
        <v>0.01339726</v>
      </c>
      <c r="AH196" t="n">
        <v>0.01339726</v>
      </c>
      <c r="AI196" t="n">
        <v>0.01339726</v>
      </c>
    </row>
    <row r="197">
      <c r="A197" t="n">
        <v>52</v>
      </c>
      <c r="B197" s="13" t="n">
        <v>45658</v>
      </c>
      <c r="C197" s="13" t="n">
        <v>46022</v>
      </c>
      <c r="D197" s="13" t="n">
        <v>45658</v>
      </c>
      <c r="E197" t="n">
        <v>0</v>
      </c>
      <c r="F197" s="13" t="n">
        <v>46022</v>
      </c>
      <c r="G197" t="n">
        <v>4.31</v>
      </c>
      <c r="H197" t="n">
        <v>1.32842466</v>
      </c>
      <c r="I197" t="n">
        <v>1.34318493</v>
      </c>
      <c r="J197" t="n">
        <v>1.35794521</v>
      </c>
      <c r="K197" t="n">
        <v>1.35794521</v>
      </c>
      <c r="L197" t="n">
        <v>0.54908219</v>
      </c>
      <c r="M197" t="n">
        <v>0.49594521</v>
      </c>
      <c r="N197" t="n">
        <v>0.54908219</v>
      </c>
      <c r="O197" t="n">
        <v>0.53136986</v>
      </c>
      <c r="P197" t="n">
        <v>0.54908219</v>
      </c>
      <c r="Q197" t="n">
        <v>0.53136986</v>
      </c>
      <c r="R197" t="n">
        <v>0.54908219</v>
      </c>
      <c r="S197" t="n">
        <v>0.54908219</v>
      </c>
      <c r="T197" t="n">
        <v>0.53136986</v>
      </c>
      <c r="U197" t="n">
        <v>0.54908219</v>
      </c>
      <c r="V197" t="n">
        <v>0.53136986</v>
      </c>
      <c r="W197" t="n">
        <v>0.54908219</v>
      </c>
      <c r="X197" t="n">
        <v>0.02361644</v>
      </c>
      <c r="Y197" t="n">
        <v>0.02361644</v>
      </c>
      <c r="Z197" t="n">
        <v>0.02361644</v>
      </c>
      <c r="AA197" t="n">
        <v>0.02361644</v>
      </c>
      <c r="AB197" t="n">
        <v>0.02361644</v>
      </c>
      <c r="AC197" t="n">
        <v>0.02361644</v>
      </c>
      <c r="AD197" t="n">
        <v>0.02361644</v>
      </c>
      <c r="AE197" t="n">
        <v>0.02361644</v>
      </c>
      <c r="AF197" t="n">
        <v>0.02361644</v>
      </c>
      <c r="AG197" t="n">
        <v>0.02361644</v>
      </c>
      <c r="AH197" t="n">
        <v>0.02361644</v>
      </c>
      <c r="AI197" t="n">
        <v>0.02361644</v>
      </c>
    </row>
    <row r="198">
      <c r="A198" t="n">
        <v>52</v>
      </c>
      <c r="B198" s="13" t="n">
        <v>46023</v>
      </c>
      <c r="C198" s="13" t="n">
        <v>46387</v>
      </c>
      <c r="D198" s="13" t="n">
        <v>46023</v>
      </c>
      <c r="E198" t="n">
        <v>0</v>
      </c>
      <c r="F198" s="13" t="n">
        <v>46387</v>
      </c>
      <c r="G198" t="n">
        <v>7.56</v>
      </c>
      <c r="H198" t="n">
        <v>2.33013698</v>
      </c>
      <c r="I198" t="n">
        <v>2.35602739</v>
      </c>
      <c r="J198" t="n">
        <v>2.3819178</v>
      </c>
      <c r="K198" t="n">
        <v>2.3819178</v>
      </c>
      <c r="L198" t="n">
        <v>0.96312328</v>
      </c>
      <c r="M198" t="n">
        <v>0.8699178</v>
      </c>
      <c r="N198" t="n">
        <v>0.96312328</v>
      </c>
      <c r="O198" t="n">
        <v>0.93205479</v>
      </c>
      <c r="P198" t="n">
        <v>0.96312328</v>
      </c>
      <c r="Q198" t="n">
        <v>0.93205479</v>
      </c>
      <c r="R198" t="n">
        <v>0.96312328</v>
      </c>
      <c r="S198" t="n">
        <v>0.96312328</v>
      </c>
      <c r="T198" t="n">
        <v>0.93205479</v>
      </c>
      <c r="U198" t="n">
        <v>0.96312328</v>
      </c>
      <c r="V198" t="n">
        <v>0.93205479</v>
      </c>
      <c r="W198" t="n">
        <v>0.96312328</v>
      </c>
      <c r="X198" t="n">
        <v>0.04142465</v>
      </c>
      <c r="Y198" t="n">
        <v>0.04142465</v>
      </c>
      <c r="Z198" t="n">
        <v>0.04142465</v>
      </c>
      <c r="AA198" t="n">
        <v>0.04142465</v>
      </c>
      <c r="AB198" t="n">
        <v>0.04142465</v>
      </c>
      <c r="AC198" t="n">
        <v>0.04142465</v>
      </c>
      <c r="AD198" t="n">
        <v>0.04142465</v>
      </c>
      <c r="AE198" t="n">
        <v>0.04142465</v>
      </c>
      <c r="AF198" t="n">
        <v>0.04142465</v>
      </c>
      <c r="AG198" t="n">
        <v>0.04142465</v>
      </c>
      <c r="AH198" t="n">
        <v>0.04142465</v>
      </c>
      <c r="AI198" t="n">
        <v>0.04142465</v>
      </c>
    </row>
    <row r="199">
      <c r="A199" t="n">
        <v>52</v>
      </c>
      <c r="B199" s="13" t="n">
        <v>46388</v>
      </c>
      <c r="C199" s="13" t="n">
        <v>2958465</v>
      </c>
      <c r="D199" s="13" t="n">
        <v>46388</v>
      </c>
      <c r="E199" t="n">
        <v>1</v>
      </c>
      <c r="G199" t="n">
        <v>6.27</v>
      </c>
      <c r="H199" t="n">
        <v>1.93253425</v>
      </c>
      <c r="I199" t="n">
        <v>1.95400685</v>
      </c>
      <c r="J199" t="n">
        <v>1.97547945</v>
      </c>
      <c r="K199" t="n">
        <v>1.97547945</v>
      </c>
      <c r="L199" t="n">
        <v>0.7987808199999999</v>
      </c>
      <c r="M199" t="n">
        <v>0.72147945</v>
      </c>
      <c r="N199" t="n">
        <v>0.7987808199999999</v>
      </c>
      <c r="O199" t="n">
        <v>0.7730137</v>
      </c>
      <c r="P199" t="n">
        <v>0.7987808199999999</v>
      </c>
      <c r="Q199" t="n">
        <v>0.7730137</v>
      </c>
      <c r="R199" t="n">
        <v>0.7987808199999999</v>
      </c>
      <c r="S199" t="n">
        <v>0.7987808199999999</v>
      </c>
      <c r="T199" t="n">
        <v>0.7730137</v>
      </c>
      <c r="U199" t="n">
        <v>0.7987808199999999</v>
      </c>
      <c r="V199" t="n">
        <v>0.7730137</v>
      </c>
      <c r="W199" t="n">
        <v>0.7987808199999999</v>
      </c>
      <c r="X199" t="n">
        <v>0.03435616</v>
      </c>
      <c r="Y199" t="n">
        <v>0.03435616</v>
      </c>
      <c r="Z199" t="n">
        <v>0.03435616</v>
      </c>
      <c r="AA199" t="n">
        <v>0.03435616</v>
      </c>
      <c r="AB199" t="n">
        <v>0.03435616</v>
      </c>
      <c r="AC199" t="n">
        <v>0.03435616</v>
      </c>
      <c r="AD199" t="n">
        <v>0.03435616</v>
      </c>
      <c r="AE199" t="n">
        <v>0.03435616</v>
      </c>
      <c r="AF199" t="n">
        <v>0.03435616</v>
      </c>
      <c r="AG199" t="n">
        <v>0.03435616</v>
      </c>
      <c r="AH199" t="n">
        <v>0.03435616</v>
      </c>
      <c r="AI199" t="n">
        <v>0.03435616</v>
      </c>
    </row>
    <row r="200">
      <c r="A200" t="n">
        <v>53</v>
      </c>
      <c r="B200" s="13" t="n">
        <v>44105</v>
      </c>
      <c r="C200" s="13" t="n">
        <v>45657</v>
      </c>
      <c r="D200" s="13" t="n">
        <v>44105</v>
      </c>
      <c r="E200" t="n">
        <v>0</v>
      </c>
      <c r="F200" s="13" t="n">
        <v>45657</v>
      </c>
      <c r="G200" t="n">
        <v>0.181543</v>
      </c>
      <c r="H200" t="n">
        <v>0.049651</v>
      </c>
      <c r="I200" t="n">
        <v>0.049651</v>
      </c>
      <c r="J200" t="n">
        <v>0.050197</v>
      </c>
      <c r="K200" t="n">
        <v>0.050197</v>
      </c>
      <c r="L200" t="n">
        <v>0.018452</v>
      </c>
      <c r="M200" t="n">
        <v>0.017261</v>
      </c>
      <c r="N200" t="n">
        <v>0.018452</v>
      </c>
      <c r="O200" t="n">
        <v>0.017857</v>
      </c>
      <c r="P200" t="n">
        <v>0.018452</v>
      </c>
      <c r="Q200" t="n">
        <v>0.017857</v>
      </c>
      <c r="R200" t="n">
        <v>0.018452</v>
      </c>
      <c r="S200" t="n">
        <v>0.018452</v>
      </c>
      <c r="T200" t="n">
        <v>0.017857</v>
      </c>
      <c r="U200" t="n">
        <v>0.018452</v>
      </c>
      <c r="V200" t="n">
        <v>0.017857</v>
      </c>
      <c r="W200" t="n">
        <v>0.018452</v>
      </c>
      <c r="X200" t="n">
        <v>0.000719</v>
      </c>
      <c r="Y200" t="n">
        <v>0.000719</v>
      </c>
      <c r="Z200" t="n">
        <v>0.000719</v>
      </c>
      <c r="AA200" t="n">
        <v>0.000719</v>
      </c>
      <c r="AB200" t="n">
        <v>0.000719</v>
      </c>
      <c r="AC200" t="n">
        <v>0.000719</v>
      </c>
      <c r="AD200" t="n">
        <v>0.000719</v>
      </c>
      <c r="AE200" t="n">
        <v>0.000719</v>
      </c>
      <c r="AF200" t="n">
        <v>0.000719</v>
      </c>
      <c r="AG200" t="n">
        <v>0.000719</v>
      </c>
      <c r="AH200" t="n">
        <v>0.000719</v>
      </c>
      <c r="AI200" t="n">
        <v>0.000719</v>
      </c>
    </row>
    <row r="201">
      <c r="A201" t="n">
        <v>53</v>
      </c>
      <c r="B201" s="13" t="n">
        <v>45658</v>
      </c>
      <c r="C201" s="13" t="n">
        <v>46295</v>
      </c>
      <c r="D201" s="13" t="n">
        <v>45658</v>
      </c>
      <c r="E201" t="n">
        <v>0</v>
      </c>
      <c r="F201" s="13" t="n">
        <v>46295</v>
      </c>
      <c r="G201" t="n">
        <v>0.452417</v>
      </c>
      <c r="H201" t="n">
        <v>0.12271</v>
      </c>
      <c r="I201" t="n">
        <v>0.124074</v>
      </c>
      <c r="J201" t="n">
        <v>0.125437</v>
      </c>
      <c r="K201" t="n">
        <v>0.125437</v>
      </c>
      <c r="L201" t="n">
        <v>0.046109</v>
      </c>
      <c r="M201" t="n">
        <v>0.041647</v>
      </c>
      <c r="N201" t="n">
        <v>0.046109</v>
      </c>
      <c r="O201" t="n">
        <v>0.044622</v>
      </c>
      <c r="P201" t="n">
        <v>0.046109</v>
      </c>
      <c r="Q201" t="n">
        <v>0.044622</v>
      </c>
      <c r="R201" t="n">
        <v>0.046109</v>
      </c>
      <c r="S201" t="n">
        <v>0.046109</v>
      </c>
      <c r="T201" t="n">
        <v>0.044622</v>
      </c>
      <c r="U201" t="n">
        <v>0.046109</v>
      </c>
      <c r="V201" t="n">
        <v>0.044622</v>
      </c>
      <c r="W201" t="n">
        <v>0.046109</v>
      </c>
      <c r="X201" t="n">
        <v>0.001797</v>
      </c>
      <c r="Y201" t="n">
        <v>0.001797</v>
      </c>
      <c r="Z201" t="n">
        <v>0.001797</v>
      </c>
      <c r="AA201" t="n">
        <v>0.001797</v>
      </c>
      <c r="AB201" t="n">
        <v>0.001797</v>
      </c>
      <c r="AC201" t="n">
        <v>0.001797</v>
      </c>
      <c r="AD201" t="n">
        <v>0.001797</v>
      </c>
      <c r="AE201" t="n">
        <v>0.001797</v>
      </c>
      <c r="AF201" t="n">
        <v>0.001797</v>
      </c>
      <c r="AG201" t="n">
        <v>0.001797</v>
      </c>
      <c r="AH201" t="n">
        <v>0.001797</v>
      </c>
      <c r="AI201" t="n">
        <v>0.001797</v>
      </c>
    </row>
    <row r="202">
      <c r="A202" t="n">
        <v>53</v>
      </c>
      <c r="B202" s="13" t="n">
        <v>46296</v>
      </c>
      <c r="C202" s="13" t="n">
        <v>2958465</v>
      </c>
      <c r="D202" s="13" t="n">
        <v>46296</v>
      </c>
      <c r="E202" t="n">
        <v>1</v>
      </c>
      <c r="G202" t="n">
        <v>0.4367736</v>
      </c>
      <c r="H202" t="n">
        <v>0.11846736</v>
      </c>
      <c r="I202" t="n">
        <v>0.11978366</v>
      </c>
      <c r="J202" t="n">
        <v>0.12109997</v>
      </c>
      <c r="K202" t="n">
        <v>0.12109997</v>
      </c>
      <c r="L202" t="n">
        <v>0.04451501</v>
      </c>
      <c r="M202" t="n">
        <v>0.0402071</v>
      </c>
      <c r="N202" t="n">
        <v>0.04451501</v>
      </c>
      <c r="O202" t="n">
        <v>0.04307904</v>
      </c>
      <c r="P202" t="n">
        <v>0.04451501</v>
      </c>
      <c r="Q202" t="n">
        <v>0.04307904</v>
      </c>
      <c r="R202" t="n">
        <v>0.04451501</v>
      </c>
      <c r="S202" t="n">
        <v>0.04451501</v>
      </c>
      <c r="T202" t="n">
        <v>0.04307904</v>
      </c>
      <c r="U202" t="n">
        <v>0.04451501</v>
      </c>
      <c r="V202" t="n">
        <v>0.04307904</v>
      </c>
      <c r="W202" t="n">
        <v>0.04451501</v>
      </c>
      <c r="X202" t="n">
        <v>0.00173513</v>
      </c>
      <c r="Y202" t="n">
        <v>0.00173513</v>
      </c>
      <c r="Z202" t="n">
        <v>0.00173513</v>
      </c>
      <c r="AA202" t="n">
        <v>0.00173513</v>
      </c>
      <c r="AB202" t="n">
        <v>0.00173513</v>
      </c>
      <c r="AC202" t="n">
        <v>0.00173513</v>
      </c>
      <c r="AD202" t="n">
        <v>0.00173513</v>
      </c>
      <c r="AE202" t="n">
        <v>0.00173513</v>
      </c>
      <c r="AF202" t="n">
        <v>0.00173513</v>
      </c>
      <c r="AG202" t="n">
        <v>0.00173513</v>
      </c>
      <c r="AH202" t="n">
        <v>0.00173513</v>
      </c>
      <c r="AI202" t="n">
        <v>0.00173513</v>
      </c>
    </row>
    <row r="203">
      <c r="A203" t="n">
        <v>54</v>
      </c>
      <c r="B203" s="13" t="n">
        <v>44105</v>
      </c>
      <c r="C203" s="13" t="n">
        <v>45657</v>
      </c>
      <c r="D203" s="13" t="n">
        <v>44105</v>
      </c>
      <c r="E203" t="n">
        <v>0</v>
      </c>
      <c r="F203" s="13" t="n">
        <v>45657</v>
      </c>
      <c r="G203" t="n">
        <v>0.181543</v>
      </c>
      <c r="H203" t="n">
        <v>0.049651</v>
      </c>
      <c r="I203" t="n">
        <v>0.049651</v>
      </c>
      <c r="J203" t="n">
        <v>0.050197</v>
      </c>
      <c r="K203" t="n">
        <v>0.050197</v>
      </c>
      <c r="L203" t="n">
        <v>0.018452</v>
      </c>
      <c r="M203" t="n">
        <v>0.017261</v>
      </c>
      <c r="N203" t="n">
        <v>0.018452</v>
      </c>
      <c r="O203" t="n">
        <v>0.017857</v>
      </c>
      <c r="P203" t="n">
        <v>0.018452</v>
      </c>
      <c r="Q203" t="n">
        <v>0.017857</v>
      </c>
      <c r="R203" t="n">
        <v>0.018452</v>
      </c>
      <c r="S203" t="n">
        <v>0.018452</v>
      </c>
      <c r="T203" t="n">
        <v>0.017857</v>
      </c>
      <c r="U203" t="n">
        <v>0.018452</v>
      </c>
      <c r="V203" t="n">
        <v>0.017857</v>
      </c>
      <c r="W203" t="n">
        <v>0.018452</v>
      </c>
      <c r="X203" t="n">
        <v>0.000719</v>
      </c>
      <c r="Y203" t="n">
        <v>0.000719</v>
      </c>
      <c r="Z203" t="n">
        <v>0.000719</v>
      </c>
      <c r="AA203" t="n">
        <v>0.000719</v>
      </c>
      <c r="AB203" t="n">
        <v>0.000719</v>
      </c>
      <c r="AC203" t="n">
        <v>0.000719</v>
      </c>
      <c r="AD203" t="n">
        <v>0.000719</v>
      </c>
      <c r="AE203" t="n">
        <v>0.000719</v>
      </c>
      <c r="AF203" t="n">
        <v>0.000719</v>
      </c>
      <c r="AG203" t="n">
        <v>0.000719</v>
      </c>
      <c r="AH203" t="n">
        <v>0.000719</v>
      </c>
      <c r="AI203" t="n">
        <v>0.000719</v>
      </c>
    </row>
    <row r="204">
      <c r="A204" t="n">
        <v>54</v>
      </c>
      <c r="B204" s="13" t="n">
        <v>45658</v>
      </c>
      <c r="C204" s="13" t="n">
        <v>46295</v>
      </c>
      <c r="D204" s="13" t="n">
        <v>45658</v>
      </c>
      <c r="E204" t="n">
        <v>0</v>
      </c>
      <c r="F204" s="13" t="n">
        <v>46295</v>
      </c>
      <c r="G204" t="n">
        <v>0.452417</v>
      </c>
      <c r="H204" t="n">
        <v>0.12271</v>
      </c>
      <c r="I204" t="n">
        <v>0.124074</v>
      </c>
      <c r="J204" t="n">
        <v>0.125437</v>
      </c>
      <c r="K204" t="n">
        <v>0.125437</v>
      </c>
      <c r="L204" t="n">
        <v>0.046109</v>
      </c>
      <c r="M204" t="n">
        <v>0.041647</v>
      </c>
      <c r="N204" t="n">
        <v>0.046109</v>
      </c>
      <c r="O204" t="n">
        <v>0.044622</v>
      </c>
      <c r="P204" t="n">
        <v>0.046109</v>
      </c>
      <c r="Q204" t="n">
        <v>0.044622</v>
      </c>
      <c r="R204" t="n">
        <v>0.046109</v>
      </c>
      <c r="S204" t="n">
        <v>0.046109</v>
      </c>
      <c r="T204" t="n">
        <v>0.044622</v>
      </c>
      <c r="U204" t="n">
        <v>0.046109</v>
      </c>
      <c r="V204" t="n">
        <v>0.044622</v>
      </c>
      <c r="W204" t="n">
        <v>0.046109</v>
      </c>
      <c r="X204" t="n">
        <v>0.001797</v>
      </c>
      <c r="Y204" t="n">
        <v>0.001797</v>
      </c>
      <c r="Z204" t="n">
        <v>0.001797</v>
      </c>
      <c r="AA204" t="n">
        <v>0.001797</v>
      </c>
      <c r="AB204" t="n">
        <v>0.001797</v>
      </c>
      <c r="AC204" t="n">
        <v>0.001797</v>
      </c>
      <c r="AD204" t="n">
        <v>0.001797</v>
      </c>
      <c r="AE204" t="n">
        <v>0.001797</v>
      </c>
      <c r="AF204" t="n">
        <v>0.001797</v>
      </c>
      <c r="AG204" t="n">
        <v>0.001797</v>
      </c>
      <c r="AH204" t="n">
        <v>0.001797</v>
      </c>
      <c r="AI204" t="n">
        <v>0.001797</v>
      </c>
    </row>
    <row r="205">
      <c r="A205" t="n">
        <v>54</v>
      </c>
      <c r="B205" s="13" t="n">
        <v>46296</v>
      </c>
      <c r="C205" s="13" t="n">
        <v>2958465</v>
      </c>
      <c r="D205" s="13" t="n">
        <v>46296</v>
      </c>
      <c r="E205" t="n">
        <v>1</v>
      </c>
      <c r="G205" t="n">
        <v>0.4367736</v>
      </c>
      <c r="H205" t="n">
        <v>0.11846736</v>
      </c>
      <c r="I205" t="n">
        <v>0.11978366</v>
      </c>
      <c r="J205" t="n">
        <v>0.12109997</v>
      </c>
      <c r="K205" t="n">
        <v>0.12109997</v>
      </c>
      <c r="L205" t="n">
        <v>0.04451501</v>
      </c>
      <c r="M205" t="n">
        <v>0.0402071</v>
      </c>
      <c r="N205" t="n">
        <v>0.04451501</v>
      </c>
      <c r="O205" t="n">
        <v>0.04307904</v>
      </c>
      <c r="P205" t="n">
        <v>0.04451501</v>
      </c>
      <c r="Q205" t="n">
        <v>0.04307904</v>
      </c>
      <c r="R205" t="n">
        <v>0.04451501</v>
      </c>
      <c r="S205" t="n">
        <v>0.04451501</v>
      </c>
      <c r="T205" t="n">
        <v>0.04307904</v>
      </c>
      <c r="U205" t="n">
        <v>0.04451501</v>
      </c>
      <c r="V205" t="n">
        <v>0.04307904</v>
      </c>
      <c r="W205" t="n">
        <v>0.04451501</v>
      </c>
      <c r="X205" t="n">
        <v>0.00173513</v>
      </c>
      <c r="Y205" t="n">
        <v>0.00173513</v>
      </c>
      <c r="Z205" t="n">
        <v>0.00173513</v>
      </c>
      <c r="AA205" t="n">
        <v>0.00173513</v>
      </c>
      <c r="AB205" t="n">
        <v>0.00173513</v>
      </c>
      <c r="AC205" t="n">
        <v>0.00173513</v>
      </c>
      <c r="AD205" t="n">
        <v>0.00173513</v>
      </c>
      <c r="AE205" t="n">
        <v>0.00173513</v>
      </c>
      <c r="AF205" t="n">
        <v>0.00173513</v>
      </c>
      <c r="AG205" t="n">
        <v>0.00173513</v>
      </c>
      <c r="AH205" t="n">
        <v>0.00173513</v>
      </c>
      <c r="AI205" t="n">
        <v>0.00173513</v>
      </c>
    </row>
    <row r="206">
      <c r="A206" t="n">
        <v>55</v>
      </c>
      <c r="B206" s="13" t="n">
        <v>44105</v>
      </c>
      <c r="C206" s="13" t="n">
        <v>45657</v>
      </c>
      <c r="D206" s="13" t="n">
        <v>44105</v>
      </c>
      <c r="E206" t="n">
        <v>0</v>
      </c>
      <c r="F206" s="13" t="n">
        <v>45657</v>
      </c>
      <c r="G206" t="n">
        <v>0.394906</v>
      </c>
      <c r="H206" t="n">
        <v>0.108006</v>
      </c>
      <c r="I206" t="n">
        <v>0.108006</v>
      </c>
      <c r="J206" t="n">
        <v>0.109193</v>
      </c>
      <c r="K206" t="n">
        <v>0.109193</v>
      </c>
      <c r="L206" t="n">
        <v>0.040138</v>
      </c>
      <c r="M206" t="n">
        <v>0.037548</v>
      </c>
      <c r="N206" t="n">
        <v>0.040138</v>
      </c>
      <c r="O206" t="n">
        <v>0.038843</v>
      </c>
      <c r="P206" t="n">
        <v>0.040138</v>
      </c>
      <c r="Q206" t="n">
        <v>0.038843</v>
      </c>
      <c r="R206" t="n">
        <v>0.040138</v>
      </c>
      <c r="S206" t="n">
        <v>0.040138</v>
      </c>
      <c r="T206" t="n">
        <v>0.038843</v>
      </c>
      <c r="U206" t="n">
        <v>0.040138</v>
      </c>
      <c r="V206" t="n">
        <v>0.038843</v>
      </c>
      <c r="W206" t="n">
        <v>0.040138</v>
      </c>
      <c r="X206" t="n">
        <v>0.001565</v>
      </c>
      <c r="Y206" t="n">
        <v>0.001565</v>
      </c>
      <c r="Z206" t="n">
        <v>0.001565</v>
      </c>
      <c r="AA206" t="n">
        <v>0.001565</v>
      </c>
      <c r="AB206" t="n">
        <v>0.001565</v>
      </c>
      <c r="AC206" t="n">
        <v>0.001565</v>
      </c>
      <c r="AD206" t="n">
        <v>0.001565</v>
      </c>
      <c r="AE206" t="n">
        <v>0.001565</v>
      </c>
      <c r="AF206" t="n">
        <v>0.001565</v>
      </c>
      <c r="AG206" t="n">
        <v>0.001565</v>
      </c>
      <c r="AH206" t="n">
        <v>0.001565</v>
      </c>
      <c r="AI206" t="n">
        <v>0.001565</v>
      </c>
    </row>
    <row r="207">
      <c r="A207" t="n">
        <v>55</v>
      </c>
      <c r="B207" s="13" t="n">
        <v>45658</v>
      </c>
      <c r="C207" s="13" t="n">
        <v>46295</v>
      </c>
      <c r="D207" s="13" t="n">
        <v>45658</v>
      </c>
      <c r="E207" t="n">
        <v>0</v>
      </c>
      <c r="F207" s="13" t="n">
        <v>46295</v>
      </c>
      <c r="G207" t="n">
        <v>0.685661</v>
      </c>
      <c r="H207" t="n">
        <v>0.185974</v>
      </c>
      <c r="I207" t="n">
        <v>0.18804</v>
      </c>
      <c r="J207" t="n">
        <v>0.190107</v>
      </c>
      <c r="K207" t="n">
        <v>0.190107</v>
      </c>
      <c r="L207" t="n">
        <v>0.069881</v>
      </c>
      <c r="M207" t="n">
        <v>0.06311799999999999</v>
      </c>
      <c r="N207" t="n">
        <v>0.069881</v>
      </c>
      <c r="O207" t="n">
        <v>0.06762700000000001</v>
      </c>
      <c r="P207" t="n">
        <v>0.069881</v>
      </c>
      <c r="Q207" t="n">
        <v>0.06762700000000001</v>
      </c>
      <c r="R207" t="n">
        <v>0.069881</v>
      </c>
      <c r="S207" t="n">
        <v>0.069881</v>
      </c>
      <c r="T207" t="n">
        <v>0.06762700000000001</v>
      </c>
      <c r="U207" t="n">
        <v>0.069881</v>
      </c>
      <c r="V207" t="n">
        <v>0.06762700000000001</v>
      </c>
      <c r="W207" t="n">
        <v>0.069881</v>
      </c>
      <c r="X207" t="n">
        <v>0.002724</v>
      </c>
      <c r="Y207" t="n">
        <v>0.002724</v>
      </c>
      <c r="Z207" t="n">
        <v>0.002724</v>
      </c>
      <c r="AA207" t="n">
        <v>0.002724</v>
      </c>
      <c r="AB207" t="n">
        <v>0.002724</v>
      </c>
      <c r="AC207" t="n">
        <v>0.002724</v>
      </c>
      <c r="AD207" t="n">
        <v>0.002724</v>
      </c>
      <c r="AE207" t="n">
        <v>0.002724</v>
      </c>
      <c r="AF207" t="n">
        <v>0.002724</v>
      </c>
      <c r="AG207" t="n">
        <v>0.002724</v>
      </c>
      <c r="AH207" t="n">
        <v>0.002724</v>
      </c>
      <c r="AI207" t="n">
        <v>0.002724</v>
      </c>
    </row>
    <row r="208">
      <c r="A208" t="n">
        <v>55</v>
      </c>
      <c r="B208" s="13" t="n">
        <v>46296</v>
      </c>
      <c r="C208" s="13" t="n">
        <v>2958465</v>
      </c>
      <c r="D208" s="13" t="n">
        <v>46296</v>
      </c>
      <c r="E208" t="n">
        <v>1</v>
      </c>
      <c r="G208" t="n">
        <v>0.6619494</v>
      </c>
      <c r="H208" t="n">
        <v>0.17954244</v>
      </c>
      <c r="I208" t="n">
        <v>0.18153736</v>
      </c>
      <c r="J208" t="n">
        <v>0.18353227</v>
      </c>
      <c r="K208" t="n">
        <v>0.18353227</v>
      </c>
      <c r="L208" t="n">
        <v>0.06746443000000001</v>
      </c>
      <c r="M208" t="n">
        <v>0.06093562</v>
      </c>
      <c r="N208" t="n">
        <v>0.06746443000000001</v>
      </c>
      <c r="O208" t="n">
        <v>0.06528816</v>
      </c>
      <c r="P208" t="n">
        <v>0.06746443000000001</v>
      </c>
      <c r="Q208" t="n">
        <v>0.06528816</v>
      </c>
      <c r="R208" t="n">
        <v>0.06746443000000001</v>
      </c>
      <c r="S208" t="n">
        <v>0.06746443000000001</v>
      </c>
      <c r="T208" t="n">
        <v>0.06528816</v>
      </c>
      <c r="U208" t="n">
        <v>0.06746443000000001</v>
      </c>
      <c r="V208" t="n">
        <v>0.06528816</v>
      </c>
      <c r="W208" t="n">
        <v>0.06746443000000001</v>
      </c>
      <c r="X208" t="n">
        <v>0.00262966</v>
      </c>
      <c r="Y208" t="n">
        <v>0.00262966</v>
      </c>
      <c r="Z208" t="n">
        <v>0.00262966</v>
      </c>
      <c r="AA208" t="n">
        <v>0.00262966</v>
      </c>
      <c r="AB208" t="n">
        <v>0.00262966</v>
      </c>
      <c r="AC208" t="n">
        <v>0.00262966</v>
      </c>
      <c r="AD208" t="n">
        <v>0.00262966</v>
      </c>
      <c r="AE208" t="n">
        <v>0.00262966</v>
      </c>
      <c r="AF208" t="n">
        <v>0.00262966</v>
      </c>
      <c r="AG208" t="n">
        <v>0.00262966</v>
      </c>
      <c r="AH208" t="n">
        <v>0.00262966</v>
      </c>
      <c r="AI208" t="n">
        <v>0.00262966</v>
      </c>
    </row>
    <row r="209">
      <c r="A209" t="n">
        <v>56</v>
      </c>
      <c r="B209" s="13" t="n">
        <v>44105</v>
      </c>
      <c r="C209" s="13" t="n">
        <v>45657</v>
      </c>
      <c r="D209" s="13" t="n">
        <v>44105</v>
      </c>
      <c r="E209" t="n">
        <v>0</v>
      </c>
      <c r="F209" s="13" t="n">
        <v>45657</v>
      </c>
      <c r="G209" t="n">
        <v>0.377364</v>
      </c>
      <c r="H209" t="n">
        <v>0.103208</v>
      </c>
      <c r="I209" t="n">
        <v>0.103208</v>
      </c>
      <c r="J209" t="n">
        <v>0.104342</v>
      </c>
      <c r="K209" t="n">
        <v>0.104342</v>
      </c>
      <c r="L209" t="n">
        <v>0.038355</v>
      </c>
      <c r="M209" t="n">
        <v>0.035881</v>
      </c>
      <c r="N209" t="n">
        <v>0.038355</v>
      </c>
      <c r="O209" t="n">
        <v>0.037118</v>
      </c>
      <c r="P209" t="n">
        <v>0.038355</v>
      </c>
      <c r="Q209" t="n">
        <v>0.037118</v>
      </c>
      <c r="R209" t="n">
        <v>0.038355</v>
      </c>
      <c r="S209" t="n">
        <v>0.038355</v>
      </c>
      <c r="T209" t="n">
        <v>0.037118</v>
      </c>
      <c r="U209" t="n">
        <v>0.038355</v>
      </c>
      <c r="V209" t="n">
        <v>0.037118</v>
      </c>
      <c r="W209" t="n">
        <v>0.038355</v>
      </c>
      <c r="X209" t="n">
        <v>0.001495</v>
      </c>
      <c r="Y209" t="n">
        <v>0.001495</v>
      </c>
      <c r="Z209" t="n">
        <v>0.001495</v>
      </c>
      <c r="AA209" t="n">
        <v>0.001495</v>
      </c>
      <c r="AB209" t="n">
        <v>0.001495</v>
      </c>
      <c r="AC209" t="n">
        <v>0.001495</v>
      </c>
      <c r="AD209" t="n">
        <v>0.001495</v>
      </c>
      <c r="AE209" t="n">
        <v>0.001495</v>
      </c>
      <c r="AF209" t="n">
        <v>0.001495</v>
      </c>
      <c r="AG209" t="n">
        <v>0.001495</v>
      </c>
      <c r="AH209" t="n">
        <v>0.001495</v>
      </c>
      <c r="AI209" t="n">
        <v>0.001495</v>
      </c>
    </row>
    <row r="210">
      <c r="A210" t="n">
        <v>56</v>
      </c>
      <c r="B210" s="13" t="n">
        <v>45658</v>
      </c>
      <c r="C210" s="13" t="n">
        <v>46295</v>
      </c>
      <c r="D210" s="13" t="n">
        <v>45658</v>
      </c>
      <c r="E210" t="n">
        <v>0</v>
      </c>
      <c r="F210" s="13" t="n">
        <v>46295</v>
      </c>
      <c r="G210" t="n">
        <v>0.692484</v>
      </c>
      <c r="H210" t="n">
        <v>0.187824</v>
      </c>
      <c r="I210" t="n">
        <v>0.189911</v>
      </c>
      <c r="J210" t="n">
        <v>0.191998</v>
      </c>
      <c r="K210" t="n">
        <v>0.191998</v>
      </c>
      <c r="L210" t="n">
        <v>0.070576</v>
      </c>
      <c r="M210" t="n">
        <v>0.063746</v>
      </c>
      <c r="N210" t="n">
        <v>0.070576</v>
      </c>
      <c r="O210" t="n">
        <v>0.0683</v>
      </c>
      <c r="P210" t="n">
        <v>0.070576</v>
      </c>
      <c r="Q210" t="n">
        <v>0.0683</v>
      </c>
      <c r="R210" t="n">
        <v>0.070576</v>
      </c>
      <c r="S210" t="n">
        <v>0.070576</v>
      </c>
      <c r="T210" t="n">
        <v>0.0683</v>
      </c>
      <c r="U210" t="n">
        <v>0.070576</v>
      </c>
      <c r="V210" t="n">
        <v>0.0683</v>
      </c>
      <c r="W210" t="n">
        <v>0.070576</v>
      </c>
      <c r="X210" t="n">
        <v>0.002751</v>
      </c>
      <c r="Y210" t="n">
        <v>0.002751</v>
      </c>
      <c r="Z210" t="n">
        <v>0.002751</v>
      </c>
      <c r="AA210" t="n">
        <v>0.002751</v>
      </c>
      <c r="AB210" t="n">
        <v>0.002751</v>
      </c>
      <c r="AC210" t="n">
        <v>0.002751</v>
      </c>
      <c r="AD210" t="n">
        <v>0.002751</v>
      </c>
      <c r="AE210" t="n">
        <v>0.002751</v>
      </c>
      <c r="AF210" t="n">
        <v>0.002751</v>
      </c>
      <c r="AG210" t="n">
        <v>0.002751</v>
      </c>
      <c r="AH210" t="n">
        <v>0.002751</v>
      </c>
      <c r="AI210" t="n">
        <v>0.002751</v>
      </c>
    </row>
    <row r="211">
      <c r="A211" t="n">
        <v>56</v>
      </c>
      <c r="B211" s="13" t="n">
        <v>46296</v>
      </c>
      <c r="C211" s="13" t="n">
        <v>2958465</v>
      </c>
      <c r="D211" s="13" t="n">
        <v>46296</v>
      </c>
      <c r="E211" t="n">
        <v>1</v>
      </c>
      <c r="G211" t="n">
        <v>0.6685194</v>
      </c>
      <c r="H211" t="n">
        <v>0.18132444</v>
      </c>
      <c r="I211" t="n">
        <v>0.18333916</v>
      </c>
      <c r="J211" t="n">
        <v>0.18535387</v>
      </c>
      <c r="K211" t="n">
        <v>0.18535387</v>
      </c>
      <c r="L211" t="n">
        <v>0.06813403</v>
      </c>
      <c r="M211" t="n">
        <v>0.06154042</v>
      </c>
      <c r="N211" t="n">
        <v>0.06813403</v>
      </c>
      <c r="O211" t="n">
        <v>0.06593615999999999</v>
      </c>
      <c r="P211" t="n">
        <v>0.06813403</v>
      </c>
      <c r="Q211" t="n">
        <v>0.06593615999999999</v>
      </c>
      <c r="R211" t="n">
        <v>0.06813403</v>
      </c>
      <c r="S211" t="n">
        <v>0.06813403</v>
      </c>
      <c r="T211" t="n">
        <v>0.06593615999999999</v>
      </c>
      <c r="U211" t="n">
        <v>0.06813403</v>
      </c>
      <c r="V211" t="n">
        <v>0.06593615999999999</v>
      </c>
      <c r="W211" t="n">
        <v>0.06813403</v>
      </c>
      <c r="X211" t="n">
        <v>0.00265576</v>
      </c>
      <c r="Y211" t="n">
        <v>0.00265576</v>
      </c>
      <c r="Z211" t="n">
        <v>0.00265576</v>
      </c>
      <c r="AA211" t="n">
        <v>0.00265576</v>
      </c>
      <c r="AB211" t="n">
        <v>0.00265576</v>
      </c>
      <c r="AC211" t="n">
        <v>0.00265576</v>
      </c>
      <c r="AD211" t="n">
        <v>0.00265576</v>
      </c>
      <c r="AE211" t="n">
        <v>0.00265576</v>
      </c>
      <c r="AF211" t="n">
        <v>0.00265576</v>
      </c>
      <c r="AG211" t="n">
        <v>0.00265576</v>
      </c>
      <c r="AH211" t="n">
        <v>0.00265576</v>
      </c>
      <c r="AI211" t="n">
        <v>0.00265576</v>
      </c>
    </row>
    <row r="212">
      <c r="A212" t="n">
        <v>57</v>
      </c>
      <c r="B212" s="13" t="n">
        <v>44562</v>
      </c>
      <c r="C212" s="13" t="n">
        <v>44926</v>
      </c>
      <c r="D212" s="13" t="n">
        <v>44562</v>
      </c>
      <c r="E212" t="n">
        <v>0</v>
      </c>
      <c r="F212" s="13" t="n">
        <v>44926</v>
      </c>
      <c r="G212" t="n">
        <v>3.51</v>
      </c>
      <c r="H212" t="n">
        <v>0.952027</v>
      </c>
      <c r="I212" t="n">
        <v>0.962605</v>
      </c>
      <c r="J212" t="n">
        <v>0.97318</v>
      </c>
      <c r="K212" t="n">
        <v>0.973184</v>
      </c>
      <c r="L212" t="n">
        <v>0.372637</v>
      </c>
      <c r="M212" t="n">
        <v>0.336575</v>
      </c>
      <c r="N212" t="n">
        <v>0.372637</v>
      </c>
      <c r="O212" t="n">
        <v>0.360616</v>
      </c>
      <c r="P212" t="n">
        <v>0.372637</v>
      </c>
      <c r="Q212" t="n">
        <v>0.360616</v>
      </c>
      <c r="R212" t="n">
        <v>0.372637</v>
      </c>
      <c r="S212" t="n">
        <v>0.372637</v>
      </c>
      <c r="T212" t="n">
        <v>0.360616</v>
      </c>
      <c r="U212" t="n">
        <v>0.372637</v>
      </c>
      <c r="V212" t="n">
        <v>0.360616</v>
      </c>
      <c r="W212" t="n">
        <v>0.372637</v>
      </c>
      <c r="X212" t="n">
        <v>0.013463</v>
      </c>
      <c r="Y212" t="n">
        <v>0.013463</v>
      </c>
      <c r="Z212" t="n">
        <v>0.013463</v>
      </c>
      <c r="AA212" t="n">
        <v>0.013463</v>
      </c>
      <c r="AB212" t="n">
        <v>0.013463</v>
      </c>
      <c r="AC212" t="n">
        <v>0.013463</v>
      </c>
      <c r="AD212" t="n">
        <v>0.013463</v>
      </c>
      <c r="AE212" t="n">
        <v>0.013463</v>
      </c>
      <c r="AF212" t="n">
        <v>0.013463</v>
      </c>
      <c r="AG212" t="n">
        <v>0.013463</v>
      </c>
      <c r="AH212" t="n">
        <v>0.013463</v>
      </c>
      <c r="AI212" t="n">
        <v>0.013463</v>
      </c>
    </row>
    <row r="213">
      <c r="A213" t="n">
        <v>57</v>
      </c>
      <c r="B213" s="13" t="n">
        <v>44927</v>
      </c>
      <c r="C213" s="13" t="n">
        <v>45291</v>
      </c>
      <c r="D213" s="13" t="n">
        <v>44927</v>
      </c>
      <c r="E213" t="n">
        <v>0</v>
      </c>
      <c r="F213" s="13" t="n">
        <v>45291</v>
      </c>
      <c r="G213" t="n">
        <v>6.03</v>
      </c>
      <c r="H213" t="n">
        <v>1.635534</v>
      </c>
      <c r="I213" t="n">
        <v>1.653707</v>
      </c>
      <c r="J213" t="n">
        <v>1.671879</v>
      </c>
      <c r="K213" t="n">
        <v>1.671879</v>
      </c>
      <c r="L213" t="n">
        <v>0.640171</v>
      </c>
      <c r="M213" t="n">
        <v>0.578219</v>
      </c>
      <c r="N213" t="n">
        <v>0.640171</v>
      </c>
      <c r="O213" t="n">
        <v>0.619521</v>
      </c>
      <c r="P213" t="n">
        <v>0.640171</v>
      </c>
      <c r="Q213" t="n">
        <v>0.619521</v>
      </c>
      <c r="R213" t="n">
        <v>0.640171</v>
      </c>
      <c r="S213" t="n">
        <v>0.640171</v>
      </c>
      <c r="T213" t="n">
        <v>0.619521</v>
      </c>
      <c r="U213" t="n">
        <v>0.640171</v>
      </c>
      <c r="V213" t="n">
        <v>0.619521</v>
      </c>
      <c r="W213" t="n">
        <v>0.640171</v>
      </c>
      <c r="X213" t="n">
        <v>0.023129</v>
      </c>
      <c r="Y213" t="n">
        <v>0.023129</v>
      </c>
      <c r="Z213" t="n">
        <v>0.023129</v>
      </c>
      <c r="AA213" t="n">
        <v>0.023129</v>
      </c>
      <c r="AB213" t="n">
        <v>0.023129</v>
      </c>
      <c r="AC213" t="n">
        <v>0.023129</v>
      </c>
      <c r="AD213" t="n">
        <v>0.023129</v>
      </c>
      <c r="AE213" t="n">
        <v>0.023129</v>
      </c>
      <c r="AF213" t="n">
        <v>0.023129</v>
      </c>
      <c r="AG213" t="n">
        <v>0.023129</v>
      </c>
      <c r="AH213" t="n">
        <v>0.023129</v>
      </c>
      <c r="AI213" t="n">
        <v>0.023129</v>
      </c>
    </row>
    <row r="214">
      <c r="A214" t="n">
        <v>57</v>
      </c>
      <c r="B214" s="13" t="n">
        <v>45292</v>
      </c>
      <c r="C214" s="13" t="n">
        <v>45657</v>
      </c>
      <c r="D214" s="13" t="n">
        <v>45292</v>
      </c>
      <c r="E214" t="n">
        <v>0</v>
      </c>
      <c r="F214" s="13" t="n">
        <v>45657</v>
      </c>
      <c r="G214" t="n">
        <v>5.1</v>
      </c>
      <c r="H214" t="n">
        <v>1.394836</v>
      </c>
      <c r="I214" t="n">
        <v>1.394836</v>
      </c>
      <c r="J214" t="n">
        <v>1.410164</v>
      </c>
      <c r="K214" t="n">
        <v>1.410164</v>
      </c>
      <c r="L214" t="n">
        <v>0.539959</v>
      </c>
      <c r="M214" t="n">
        <v>0.505123</v>
      </c>
      <c r="N214" t="n">
        <v>0.539959</v>
      </c>
      <c r="O214" t="n">
        <v>0.522541</v>
      </c>
      <c r="P214" t="n">
        <v>0.539959</v>
      </c>
      <c r="Q214" t="n">
        <v>0.522541</v>
      </c>
      <c r="R214" t="n">
        <v>0.539959</v>
      </c>
      <c r="S214" t="n">
        <v>0.539959</v>
      </c>
      <c r="T214" t="n">
        <v>0.522541</v>
      </c>
      <c r="U214" t="n">
        <v>0.539959</v>
      </c>
      <c r="V214" t="n">
        <v>0.522541</v>
      </c>
      <c r="W214" t="n">
        <v>0.539959</v>
      </c>
      <c r="X214" t="n">
        <v>0.019508</v>
      </c>
      <c r="Y214" t="n">
        <v>0.019508</v>
      </c>
      <c r="Z214" t="n">
        <v>0.019508</v>
      </c>
      <c r="AA214" t="n">
        <v>0.019508</v>
      </c>
      <c r="AB214" t="n">
        <v>0.019508</v>
      </c>
      <c r="AC214" t="n">
        <v>0.019508</v>
      </c>
      <c r="AD214" t="n">
        <v>0.019508</v>
      </c>
      <c r="AE214" t="n">
        <v>0.019508</v>
      </c>
      <c r="AF214" t="n">
        <v>0.019508</v>
      </c>
      <c r="AG214" t="n">
        <v>0.019508</v>
      </c>
      <c r="AH214" t="n">
        <v>0.019508</v>
      </c>
      <c r="AI214" t="n">
        <v>0.019508</v>
      </c>
    </row>
    <row r="215">
      <c r="A215" t="n">
        <v>57</v>
      </c>
      <c r="B215" s="13" t="n">
        <v>45658</v>
      </c>
      <c r="C215" s="13" t="n">
        <v>46022</v>
      </c>
      <c r="D215" s="13" t="n">
        <v>45658</v>
      </c>
      <c r="E215" t="n">
        <v>0</v>
      </c>
      <c r="F215" s="13" t="n">
        <v>46022</v>
      </c>
      <c r="G215" t="n">
        <v>6.71</v>
      </c>
      <c r="H215" t="n">
        <v>1.8199726</v>
      </c>
      <c r="I215" t="n">
        <v>1.8401945</v>
      </c>
      <c r="J215" t="n">
        <v>1.8604164</v>
      </c>
      <c r="K215" t="n">
        <v>1.8604164</v>
      </c>
      <c r="L215" t="n">
        <v>0.712363</v>
      </c>
      <c r="M215" t="n">
        <v>0.6434247</v>
      </c>
      <c r="N215" t="n">
        <v>0.712363</v>
      </c>
      <c r="O215" t="n">
        <v>0.6893836</v>
      </c>
      <c r="P215" t="n">
        <v>0.712363</v>
      </c>
      <c r="Q215" t="n">
        <v>0.6893836</v>
      </c>
      <c r="R215" t="n">
        <v>0.712363</v>
      </c>
      <c r="S215" t="n">
        <v>0.712363</v>
      </c>
      <c r="T215" t="n">
        <v>0.6893836</v>
      </c>
      <c r="U215" t="n">
        <v>0.712363</v>
      </c>
      <c r="V215" t="n">
        <v>0.6893836</v>
      </c>
      <c r="W215" t="n">
        <v>0.712363</v>
      </c>
      <c r="X215" t="n">
        <v>0.025737</v>
      </c>
      <c r="Y215" t="n">
        <v>0.025737</v>
      </c>
      <c r="Z215" t="n">
        <v>0.025737</v>
      </c>
      <c r="AA215" t="n">
        <v>0.025737</v>
      </c>
      <c r="AB215" t="n">
        <v>0.025737</v>
      </c>
      <c r="AC215" t="n">
        <v>0.025737</v>
      </c>
      <c r="AD215" t="n">
        <v>0.025737</v>
      </c>
      <c r="AE215" t="n">
        <v>0.025737</v>
      </c>
      <c r="AF215" t="n">
        <v>0.025737</v>
      </c>
      <c r="AG215" t="n">
        <v>0.025737</v>
      </c>
      <c r="AH215" t="n">
        <v>0.025737</v>
      </c>
      <c r="AI215" t="n">
        <v>0.025737</v>
      </c>
    </row>
    <row r="216">
      <c r="A216" t="n">
        <v>57</v>
      </c>
      <c r="B216" s="13" t="n">
        <v>46023</v>
      </c>
      <c r="C216" s="13" t="n">
        <v>46387</v>
      </c>
      <c r="D216" s="13" t="n">
        <v>46023</v>
      </c>
      <c r="E216" t="n">
        <v>0</v>
      </c>
      <c r="F216" s="13" t="n">
        <v>46387</v>
      </c>
      <c r="G216" t="n">
        <v>7.06</v>
      </c>
      <c r="H216" t="n">
        <v>1.9149041</v>
      </c>
      <c r="I216" t="n">
        <v>1.9361808</v>
      </c>
      <c r="J216" t="n">
        <v>1.9574575</v>
      </c>
      <c r="K216" t="n">
        <v>1.9574575</v>
      </c>
      <c r="L216" t="n">
        <v>0.7495205</v>
      </c>
      <c r="M216" t="n">
        <v>0.6769863</v>
      </c>
      <c r="N216" t="n">
        <v>0.7495205</v>
      </c>
      <c r="O216" t="n">
        <v>0.7253424000000001</v>
      </c>
      <c r="P216" t="n">
        <v>0.7495205</v>
      </c>
      <c r="Q216" t="n">
        <v>0.7253424000000001</v>
      </c>
      <c r="R216" t="n">
        <v>0.7495205</v>
      </c>
      <c r="S216" t="n">
        <v>0.7495205</v>
      </c>
      <c r="T216" t="n">
        <v>0.7253424000000001</v>
      </c>
      <c r="U216" t="n">
        <v>0.7495205</v>
      </c>
      <c r="V216" t="n">
        <v>0.7253424000000001</v>
      </c>
      <c r="W216" t="n">
        <v>0.7495205</v>
      </c>
      <c r="X216" t="n">
        <v>0.0270794</v>
      </c>
      <c r="Y216" t="n">
        <v>0.0270794</v>
      </c>
      <c r="Z216" t="n">
        <v>0.0270794</v>
      </c>
      <c r="AA216" t="n">
        <v>0.0270794</v>
      </c>
      <c r="AB216" t="n">
        <v>0.0270794</v>
      </c>
      <c r="AC216" t="n">
        <v>0.0270794</v>
      </c>
      <c r="AD216" t="n">
        <v>0.0270794</v>
      </c>
      <c r="AE216" t="n">
        <v>0.0270794</v>
      </c>
      <c r="AF216" t="n">
        <v>0.0270794</v>
      </c>
      <c r="AG216" t="n">
        <v>0.0270794</v>
      </c>
      <c r="AH216" t="n">
        <v>0.0270794</v>
      </c>
      <c r="AI216" t="n">
        <v>0.0270794</v>
      </c>
    </row>
    <row r="217">
      <c r="A217" t="n">
        <v>57</v>
      </c>
      <c r="B217" s="13" t="n">
        <v>46388</v>
      </c>
      <c r="C217" s="13" t="n">
        <v>2958465</v>
      </c>
      <c r="D217" s="13" t="n">
        <v>46388</v>
      </c>
      <c r="E217" t="n">
        <v>1</v>
      </c>
      <c r="G217" t="n">
        <v>7.31</v>
      </c>
      <c r="H217" t="n">
        <v>1.98271233</v>
      </c>
      <c r="I217" t="n">
        <v>2.00474247</v>
      </c>
      <c r="J217" t="n">
        <v>2.0267726</v>
      </c>
      <c r="K217" t="n">
        <v>2.0267726</v>
      </c>
      <c r="L217" t="n">
        <v>0.77606164</v>
      </c>
      <c r="M217" t="n">
        <v>0.7009589000000001</v>
      </c>
      <c r="N217" t="n">
        <v>0.77606164</v>
      </c>
      <c r="O217" t="n">
        <v>0.7510274</v>
      </c>
      <c r="P217" t="n">
        <v>0.77606164</v>
      </c>
      <c r="Q217" t="n">
        <v>0.7510274</v>
      </c>
      <c r="R217" t="n">
        <v>0.77606164</v>
      </c>
      <c r="S217" t="n">
        <v>0.77606164</v>
      </c>
      <c r="T217" t="n">
        <v>0.7510274</v>
      </c>
      <c r="U217" t="n">
        <v>0.77606164</v>
      </c>
      <c r="V217" t="n">
        <v>0.7510274</v>
      </c>
      <c r="W217" t="n">
        <v>0.77606164</v>
      </c>
      <c r="X217" t="n">
        <v>0.02803836</v>
      </c>
      <c r="Y217" t="n">
        <v>0.02803836</v>
      </c>
      <c r="Z217" t="n">
        <v>0.02803836</v>
      </c>
      <c r="AA217" t="n">
        <v>0.02803836</v>
      </c>
      <c r="AB217" t="n">
        <v>0.02803836</v>
      </c>
      <c r="AC217" t="n">
        <v>0.02803836</v>
      </c>
      <c r="AD217" t="n">
        <v>0.02803836</v>
      </c>
      <c r="AE217" t="n">
        <v>0.02803836</v>
      </c>
      <c r="AF217" t="n">
        <v>0.02803836</v>
      </c>
      <c r="AG217" t="n">
        <v>0.02803836</v>
      </c>
      <c r="AH217" t="n">
        <v>0.02803836</v>
      </c>
      <c r="AI217" t="n">
        <v>0.02803836</v>
      </c>
    </row>
    <row r="218">
      <c r="A218" t="n">
        <v>58</v>
      </c>
      <c r="B218" s="13" t="n">
        <v>44562</v>
      </c>
      <c r="C218" s="13" t="n">
        <v>44926</v>
      </c>
      <c r="D218" s="13" t="n">
        <v>44562</v>
      </c>
      <c r="E218" t="n">
        <v>0</v>
      </c>
      <c r="F218" s="13" t="n">
        <v>44926</v>
      </c>
      <c r="G218" t="n">
        <v>3.51</v>
      </c>
      <c r="H218" t="n">
        <v>0.952027</v>
      </c>
      <c r="I218" t="n">
        <v>0.962605</v>
      </c>
      <c r="J218" t="n">
        <v>0.97318</v>
      </c>
      <c r="K218" t="n">
        <v>0.973184</v>
      </c>
      <c r="L218" t="n">
        <v>0.372637</v>
      </c>
      <c r="M218" t="n">
        <v>0.336575</v>
      </c>
      <c r="N218" t="n">
        <v>0.372637</v>
      </c>
      <c r="O218" t="n">
        <v>0.360616</v>
      </c>
      <c r="P218" t="n">
        <v>0.372637</v>
      </c>
      <c r="Q218" t="n">
        <v>0.360616</v>
      </c>
      <c r="R218" t="n">
        <v>0.372637</v>
      </c>
      <c r="S218" t="n">
        <v>0.372637</v>
      </c>
      <c r="T218" t="n">
        <v>0.360616</v>
      </c>
      <c r="U218" t="n">
        <v>0.372637</v>
      </c>
      <c r="V218" t="n">
        <v>0.360616</v>
      </c>
      <c r="W218" t="n">
        <v>0.372637</v>
      </c>
      <c r="X218" t="n">
        <v>0.013463</v>
      </c>
      <c r="Y218" t="n">
        <v>0.013463</v>
      </c>
      <c r="Z218" t="n">
        <v>0.013463</v>
      </c>
      <c r="AA218" t="n">
        <v>0.013463</v>
      </c>
      <c r="AB218" t="n">
        <v>0.013463</v>
      </c>
      <c r="AC218" t="n">
        <v>0.013463</v>
      </c>
      <c r="AD218" t="n">
        <v>0.013463</v>
      </c>
      <c r="AE218" t="n">
        <v>0.013463</v>
      </c>
      <c r="AF218" t="n">
        <v>0.013463</v>
      </c>
      <c r="AG218" t="n">
        <v>0.013463</v>
      </c>
      <c r="AH218" t="n">
        <v>0.013463</v>
      </c>
      <c r="AI218" t="n">
        <v>0.013463</v>
      </c>
    </row>
    <row r="219">
      <c r="A219" t="n">
        <v>58</v>
      </c>
      <c r="B219" s="13" t="n">
        <v>44927</v>
      </c>
      <c r="C219" s="13" t="n">
        <v>45291</v>
      </c>
      <c r="D219" s="13" t="n">
        <v>44927</v>
      </c>
      <c r="E219" t="n">
        <v>0</v>
      </c>
      <c r="F219" s="13" t="n">
        <v>45291</v>
      </c>
      <c r="G219" t="n">
        <v>6.03</v>
      </c>
      <c r="H219" t="n">
        <v>1.635534</v>
      </c>
      <c r="I219" t="n">
        <v>1.653707</v>
      </c>
      <c r="J219" t="n">
        <v>1.671879</v>
      </c>
      <c r="K219" t="n">
        <v>1.671879</v>
      </c>
      <c r="L219" t="n">
        <v>0.640171</v>
      </c>
      <c r="M219" t="n">
        <v>0.578219</v>
      </c>
      <c r="N219" t="n">
        <v>0.640171</v>
      </c>
      <c r="O219" t="n">
        <v>0.619521</v>
      </c>
      <c r="P219" t="n">
        <v>0.640171</v>
      </c>
      <c r="Q219" t="n">
        <v>0.619521</v>
      </c>
      <c r="R219" t="n">
        <v>0.640171</v>
      </c>
      <c r="S219" t="n">
        <v>0.640171</v>
      </c>
      <c r="T219" t="n">
        <v>0.619521</v>
      </c>
      <c r="U219" t="n">
        <v>0.640171</v>
      </c>
      <c r="V219" t="n">
        <v>0.619521</v>
      </c>
      <c r="W219" t="n">
        <v>0.640171</v>
      </c>
      <c r="X219" t="n">
        <v>0.023129</v>
      </c>
      <c r="Y219" t="n">
        <v>0.023129</v>
      </c>
      <c r="Z219" t="n">
        <v>0.023129</v>
      </c>
      <c r="AA219" t="n">
        <v>0.023129</v>
      </c>
      <c r="AB219" t="n">
        <v>0.023129</v>
      </c>
      <c r="AC219" t="n">
        <v>0.023129</v>
      </c>
      <c r="AD219" t="n">
        <v>0.023129</v>
      </c>
      <c r="AE219" t="n">
        <v>0.023129</v>
      </c>
      <c r="AF219" t="n">
        <v>0.023129</v>
      </c>
      <c r="AG219" t="n">
        <v>0.023129</v>
      </c>
      <c r="AH219" t="n">
        <v>0.023129</v>
      </c>
      <c r="AI219" t="n">
        <v>0.023129</v>
      </c>
    </row>
    <row r="220">
      <c r="A220" t="n">
        <v>58</v>
      </c>
      <c r="B220" s="13" t="n">
        <v>45292</v>
      </c>
      <c r="C220" s="13" t="n">
        <v>45657</v>
      </c>
      <c r="D220" s="13" t="n">
        <v>45292</v>
      </c>
      <c r="E220" t="n">
        <v>0</v>
      </c>
      <c r="F220" s="13" t="n">
        <v>45657</v>
      </c>
      <c r="G220" t="n">
        <v>5.1</v>
      </c>
      <c r="H220" t="n">
        <v>1.394836</v>
      </c>
      <c r="I220" t="n">
        <v>1.394836</v>
      </c>
      <c r="J220" t="n">
        <v>1.410164</v>
      </c>
      <c r="K220" t="n">
        <v>1.410164</v>
      </c>
      <c r="L220" t="n">
        <v>0.539959</v>
      </c>
      <c r="M220" t="n">
        <v>0.505123</v>
      </c>
      <c r="N220" t="n">
        <v>0.539959</v>
      </c>
      <c r="O220" t="n">
        <v>0.522541</v>
      </c>
      <c r="P220" t="n">
        <v>0.539959</v>
      </c>
      <c r="Q220" t="n">
        <v>0.522541</v>
      </c>
      <c r="R220" t="n">
        <v>0.539959</v>
      </c>
      <c r="S220" t="n">
        <v>0.539959</v>
      </c>
      <c r="T220" t="n">
        <v>0.522541</v>
      </c>
      <c r="U220" t="n">
        <v>0.539959</v>
      </c>
      <c r="V220" t="n">
        <v>0.522541</v>
      </c>
      <c r="W220" t="n">
        <v>0.539959</v>
      </c>
      <c r="X220" t="n">
        <v>0.019508</v>
      </c>
      <c r="Y220" t="n">
        <v>0.019508</v>
      </c>
      <c r="Z220" t="n">
        <v>0.019508</v>
      </c>
      <c r="AA220" t="n">
        <v>0.019508</v>
      </c>
      <c r="AB220" t="n">
        <v>0.019508</v>
      </c>
      <c r="AC220" t="n">
        <v>0.019508</v>
      </c>
      <c r="AD220" t="n">
        <v>0.019508</v>
      </c>
      <c r="AE220" t="n">
        <v>0.019508</v>
      </c>
      <c r="AF220" t="n">
        <v>0.019508</v>
      </c>
      <c r="AG220" t="n">
        <v>0.019508</v>
      </c>
      <c r="AH220" t="n">
        <v>0.019508</v>
      </c>
      <c r="AI220" t="n">
        <v>0.019508</v>
      </c>
    </row>
    <row r="221">
      <c r="A221" t="n">
        <v>58</v>
      </c>
      <c r="B221" s="13" t="n">
        <v>45658</v>
      </c>
      <c r="C221" s="13" t="n">
        <v>46022</v>
      </c>
      <c r="D221" s="13" t="n">
        <v>45658</v>
      </c>
      <c r="E221" t="n">
        <v>0</v>
      </c>
      <c r="F221" s="13" t="n">
        <v>46022</v>
      </c>
      <c r="G221" t="n">
        <v>6.71</v>
      </c>
      <c r="H221" t="n">
        <v>1.8199726</v>
      </c>
      <c r="I221" t="n">
        <v>1.8401945</v>
      </c>
      <c r="J221" t="n">
        <v>1.8604164</v>
      </c>
      <c r="K221" t="n">
        <v>1.8604164</v>
      </c>
      <c r="L221" t="n">
        <v>0.712363</v>
      </c>
      <c r="M221" t="n">
        <v>0.6434247</v>
      </c>
      <c r="N221" t="n">
        <v>0.712363</v>
      </c>
      <c r="O221" t="n">
        <v>0.6893836</v>
      </c>
      <c r="P221" t="n">
        <v>0.712363</v>
      </c>
      <c r="Q221" t="n">
        <v>0.6893836</v>
      </c>
      <c r="R221" t="n">
        <v>0.712363</v>
      </c>
      <c r="S221" t="n">
        <v>0.712363</v>
      </c>
      <c r="T221" t="n">
        <v>0.6893836</v>
      </c>
      <c r="U221" t="n">
        <v>0.712363</v>
      </c>
      <c r="V221" t="n">
        <v>0.6893836</v>
      </c>
      <c r="W221" t="n">
        <v>0.712363</v>
      </c>
      <c r="X221" t="n">
        <v>0.025737</v>
      </c>
      <c r="Y221" t="n">
        <v>0.025737</v>
      </c>
      <c r="Z221" t="n">
        <v>0.025737</v>
      </c>
      <c r="AA221" t="n">
        <v>0.025737</v>
      </c>
      <c r="AB221" t="n">
        <v>0.025737</v>
      </c>
      <c r="AC221" t="n">
        <v>0.025737</v>
      </c>
      <c r="AD221" t="n">
        <v>0.025737</v>
      </c>
      <c r="AE221" t="n">
        <v>0.025737</v>
      </c>
      <c r="AF221" t="n">
        <v>0.025737</v>
      </c>
      <c r="AG221" t="n">
        <v>0.025737</v>
      </c>
      <c r="AH221" t="n">
        <v>0.025737</v>
      </c>
      <c r="AI221" t="n">
        <v>0.025737</v>
      </c>
    </row>
    <row r="222">
      <c r="A222" t="n">
        <v>58</v>
      </c>
      <c r="B222" s="13" t="n">
        <v>46023</v>
      </c>
      <c r="C222" s="13" t="n">
        <v>46387</v>
      </c>
      <c r="D222" s="13" t="n">
        <v>46023</v>
      </c>
      <c r="E222" t="n">
        <v>0</v>
      </c>
      <c r="F222" s="13" t="n">
        <v>46387</v>
      </c>
      <c r="G222" t="n">
        <v>7.06</v>
      </c>
      <c r="H222" t="n">
        <v>1.9149041</v>
      </c>
      <c r="I222" t="n">
        <v>1.9361808</v>
      </c>
      <c r="J222" t="n">
        <v>1.9574575</v>
      </c>
      <c r="K222" t="n">
        <v>1.9574575</v>
      </c>
      <c r="L222" t="n">
        <v>0.7495205</v>
      </c>
      <c r="M222" t="n">
        <v>0.6769863</v>
      </c>
      <c r="N222" t="n">
        <v>0.7495205</v>
      </c>
      <c r="O222" t="n">
        <v>0.7253424000000001</v>
      </c>
      <c r="P222" t="n">
        <v>0.7495205</v>
      </c>
      <c r="Q222" t="n">
        <v>0.7253424000000001</v>
      </c>
      <c r="R222" t="n">
        <v>0.7495205</v>
      </c>
      <c r="S222" t="n">
        <v>0.7495205</v>
      </c>
      <c r="T222" t="n">
        <v>0.7253424000000001</v>
      </c>
      <c r="U222" t="n">
        <v>0.7495205</v>
      </c>
      <c r="V222" t="n">
        <v>0.7253424000000001</v>
      </c>
      <c r="W222" t="n">
        <v>0.7495205</v>
      </c>
      <c r="X222" t="n">
        <v>0.0270794</v>
      </c>
      <c r="Y222" t="n">
        <v>0.0270794</v>
      </c>
      <c r="Z222" t="n">
        <v>0.0270794</v>
      </c>
      <c r="AA222" t="n">
        <v>0.0270794</v>
      </c>
      <c r="AB222" t="n">
        <v>0.0270794</v>
      </c>
      <c r="AC222" t="n">
        <v>0.0270794</v>
      </c>
      <c r="AD222" t="n">
        <v>0.0270794</v>
      </c>
      <c r="AE222" t="n">
        <v>0.0270794</v>
      </c>
      <c r="AF222" t="n">
        <v>0.0270794</v>
      </c>
      <c r="AG222" t="n">
        <v>0.0270794</v>
      </c>
      <c r="AH222" t="n">
        <v>0.0270794</v>
      </c>
      <c r="AI222" t="n">
        <v>0.0270794</v>
      </c>
    </row>
    <row r="223">
      <c r="A223" t="n">
        <v>58</v>
      </c>
      <c r="B223" s="13" t="n">
        <v>46388</v>
      </c>
      <c r="C223" s="13" t="n">
        <v>2958465</v>
      </c>
      <c r="D223" s="13" t="n">
        <v>46388</v>
      </c>
      <c r="E223" t="n">
        <v>1</v>
      </c>
      <c r="G223" t="n">
        <v>7.31</v>
      </c>
      <c r="H223" t="n">
        <v>1.98271233</v>
      </c>
      <c r="I223" t="n">
        <v>2.00474247</v>
      </c>
      <c r="J223" t="n">
        <v>2.0267726</v>
      </c>
      <c r="K223" t="n">
        <v>2.0267726</v>
      </c>
      <c r="L223" t="n">
        <v>0.77606164</v>
      </c>
      <c r="M223" t="n">
        <v>0.7009589000000001</v>
      </c>
      <c r="N223" t="n">
        <v>0.77606164</v>
      </c>
      <c r="O223" t="n">
        <v>0.7510274</v>
      </c>
      <c r="P223" t="n">
        <v>0.77606164</v>
      </c>
      <c r="Q223" t="n">
        <v>0.7510274</v>
      </c>
      <c r="R223" t="n">
        <v>0.77606164</v>
      </c>
      <c r="S223" t="n">
        <v>0.77606164</v>
      </c>
      <c r="T223" t="n">
        <v>0.7510274</v>
      </c>
      <c r="U223" t="n">
        <v>0.77606164</v>
      </c>
      <c r="V223" t="n">
        <v>0.7510274</v>
      </c>
      <c r="W223" t="n">
        <v>0.77606164</v>
      </c>
      <c r="X223" t="n">
        <v>0.02803836</v>
      </c>
      <c r="Y223" t="n">
        <v>0.02803836</v>
      </c>
      <c r="Z223" t="n">
        <v>0.02803836</v>
      </c>
      <c r="AA223" t="n">
        <v>0.02803836</v>
      </c>
      <c r="AB223" t="n">
        <v>0.02803836</v>
      </c>
      <c r="AC223" t="n">
        <v>0.02803836</v>
      </c>
      <c r="AD223" t="n">
        <v>0.02803836</v>
      </c>
      <c r="AE223" t="n">
        <v>0.02803836</v>
      </c>
      <c r="AF223" t="n">
        <v>0.02803836</v>
      </c>
      <c r="AG223" t="n">
        <v>0.02803836</v>
      </c>
      <c r="AH223" t="n">
        <v>0.02803836</v>
      </c>
      <c r="AI223" t="n">
        <v>0.02803836</v>
      </c>
    </row>
    <row r="224">
      <c r="A224" t="n">
        <v>59</v>
      </c>
      <c r="B224" s="13" t="n">
        <v>44835</v>
      </c>
      <c r="C224" s="13" t="n">
        <v>45199</v>
      </c>
      <c r="D224" s="13" t="n">
        <v>44835</v>
      </c>
      <c r="E224" t="n">
        <v>0</v>
      </c>
      <c r="F224" s="13" t="n">
        <v>45199</v>
      </c>
      <c r="G224" t="n">
        <v>5.46</v>
      </c>
      <c r="H224" t="n">
        <v>1.62</v>
      </c>
      <c r="I224" t="n">
        <v>1.63</v>
      </c>
      <c r="J224" t="n">
        <v>1.65</v>
      </c>
      <c r="K224" t="n">
        <v>1.65</v>
      </c>
      <c r="L224" t="n">
        <v>0.6</v>
      </c>
      <c r="M224" t="n">
        <v>0.54</v>
      </c>
      <c r="N224" t="n">
        <v>0.6</v>
      </c>
      <c r="O224" t="n">
        <v>0.58</v>
      </c>
      <c r="P224" t="n">
        <v>0.6</v>
      </c>
      <c r="Q224" t="n">
        <v>0.58</v>
      </c>
      <c r="R224" t="n">
        <v>0.6</v>
      </c>
      <c r="S224" t="n">
        <v>0.6</v>
      </c>
      <c r="T224" t="n">
        <v>0.58</v>
      </c>
      <c r="U224" t="n">
        <v>0.6</v>
      </c>
      <c r="V224" t="n">
        <v>0.58</v>
      </c>
      <c r="W224" t="n">
        <v>0.6</v>
      </c>
      <c r="X224" t="n">
        <v>0.03</v>
      </c>
      <c r="Y224" t="n">
        <v>0.03</v>
      </c>
      <c r="Z224" t="n">
        <v>0.03</v>
      </c>
      <c r="AA224" t="n">
        <v>0.03</v>
      </c>
      <c r="AB224" t="n">
        <v>0.03</v>
      </c>
      <c r="AC224" t="n">
        <v>0.03</v>
      </c>
      <c r="AD224" t="n">
        <v>0.03</v>
      </c>
      <c r="AE224" t="n">
        <v>0.03</v>
      </c>
      <c r="AF224" t="n">
        <v>0.03</v>
      </c>
      <c r="AG224" t="n">
        <v>0.03</v>
      </c>
      <c r="AH224" t="n">
        <v>0.03</v>
      </c>
      <c r="AI224" t="n">
        <v>0.03</v>
      </c>
    </row>
    <row r="225">
      <c r="A225" t="n">
        <v>59</v>
      </c>
      <c r="B225" s="13" t="n">
        <v>45200</v>
      </c>
      <c r="C225" s="13" t="n">
        <v>45322</v>
      </c>
      <c r="D225" s="13" t="n">
        <v>45200</v>
      </c>
      <c r="E225" t="n">
        <v>0</v>
      </c>
      <c r="F225" s="13" t="n">
        <v>45322</v>
      </c>
      <c r="G225" t="n">
        <v>5.4</v>
      </c>
      <c r="H225" t="n">
        <v>1.6</v>
      </c>
      <c r="I225" t="n">
        <v>1.62</v>
      </c>
      <c r="J225" t="n">
        <v>1.68</v>
      </c>
      <c r="K225" t="n">
        <v>1.63</v>
      </c>
      <c r="L225" t="n">
        <v>0.6</v>
      </c>
      <c r="M225" t="n">
        <v>0.54</v>
      </c>
      <c r="N225" t="n">
        <v>0.6</v>
      </c>
      <c r="O225" t="n">
        <v>0.58</v>
      </c>
      <c r="P225" t="n">
        <v>0.6</v>
      </c>
      <c r="Q225" t="n">
        <v>0.58</v>
      </c>
      <c r="R225" t="n">
        <v>0.6</v>
      </c>
      <c r="S225" t="n">
        <v>0.6</v>
      </c>
      <c r="T225" t="n">
        <v>0.58</v>
      </c>
      <c r="U225" t="n">
        <v>0.6</v>
      </c>
      <c r="V225" t="n">
        <v>0.58</v>
      </c>
      <c r="W225" t="n">
        <v>0.6</v>
      </c>
      <c r="X225" t="n">
        <v>0.03</v>
      </c>
      <c r="Y225" t="n">
        <v>0.03</v>
      </c>
      <c r="Z225" t="n">
        <v>0.03</v>
      </c>
      <c r="AA225" t="n">
        <v>0.03</v>
      </c>
      <c r="AB225" t="n">
        <v>0.03</v>
      </c>
      <c r="AC225" t="n">
        <v>0.03</v>
      </c>
      <c r="AD225" t="n">
        <v>0.03</v>
      </c>
      <c r="AE225" t="n">
        <v>0.03</v>
      </c>
      <c r="AF225" t="n">
        <v>0.03</v>
      </c>
      <c r="AG225" t="n">
        <v>0.03</v>
      </c>
      <c r="AH225" t="n">
        <v>0.03</v>
      </c>
      <c r="AI225" t="n">
        <v>0.03</v>
      </c>
    </row>
    <row r="226">
      <c r="A226" t="n">
        <v>59</v>
      </c>
      <c r="B226" s="13" t="n">
        <v>45323</v>
      </c>
      <c r="C226" s="13" t="n">
        <v>45565</v>
      </c>
      <c r="D226" s="13" t="n">
        <v>45323</v>
      </c>
      <c r="E226" t="n">
        <v>0</v>
      </c>
      <c r="F226" s="13" t="n">
        <v>45565</v>
      </c>
      <c r="G226" t="n">
        <v>6.33</v>
      </c>
      <c r="H226" t="n">
        <v>1.89</v>
      </c>
      <c r="I226" t="n">
        <v>1.89</v>
      </c>
      <c r="J226" t="n">
        <v>1.91</v>
      </c>
      <c r="K226" t="n">
        <v>1.91</v>
      </c>
      <c r="L226" t="n">
        <v>0.7</v>
      </c>
      <c r="M226" t="n">
        <v>0.65</v>
      </c>
      <c r="N226" t="n">
        <v>0.7</v>
      </c>
      <c r="O226" t="n">
        <v>0.67</v>
      </c>
      <c r="P226" t="n">
        <v>0.7</v>
      </c>
      <c r="Q226" t="n">
        <v>0.67</v>
      </c>
      <c r="R226" t="n">
        <v>0.7</v>
      </c>
      <c r="S226" t="n">
        <v>0.7</v>
      </c>
      <c r="T226" t="n">
        <v>0.67</v>
      </c>
      <c r="U226" t="n">
        <v>0.7</v>
      </c>
      <c r="V226" t="n">
        <v>0.67</v>
      </c>
      <c r="W226" t="n">
        <v>0.7</v>
      </c>
      <c r="X226" t="n">
        <v>0.0346</v>
      </c>
      <c r="Y226" t="n">
        <v>0.0346</v>
      </c>
      <c r="Z226" t="n">
        <v>0.0346</v>
      </c>
      <c r="AA226" t="n">
        <v>0.0346</v>
      </c>
      <c r="AB226" t="n">
        <v>0.0346</v>
      </c>
      <c r="AC226" t="n">
        <v>0.0346</v>
      </c>
      <c r="AD226" t="n">
        <v>0.0346</v>
      </c>
      <c r="AE226" t="n">
        <v>0.0346</v>
      </c>
      <c r="AF226" t="n">
        <v>0.0346</v>
      </c>
      <c r="AG226" t="n">
        <v>0.0346</v>
      </c>
      <c r="AH226" t="n">
        <v>0.0346</v>
      </c>
      <c r="AI226" t="n">
        <v>0.0346</v>
      </c>
    </row>
    <row r="227">
      <c r="A227" t="n">
        <v>59</v>
      </c>
      <c r="B227" s="13" t="n">
        <v>45566</v>
      </c>
      <c r="C227" s="13" t="n">
        <v>45930</v>
      </c>
      <c r="D227" s="13" t="n">
        <v>45566</v>
      </c>
      <c r="E227" t="n">
        <v>0</v>
      </c>
      <c r="F227" s="13" t="n">
        <v>45930</v>
      </c>
      <c r="G227" t="n">
        <v>6.3</v>
      </c>
      <c r="H227" t="n">
        <v>1.86</v>
      </c>
      <c r="I227" t="n">
        <v>1.88</v>
      </c>
      <c r="J227" t="n">
        <v>1.91</v>
      </c>
      <c r="K227" t="n">
        <v>1.91</v>
      </c>
      <c r="L227" t="n">
        <v>0.7</v>
      </c>
      <c r="M227" t="n">
        <v>0.63</v>
      </c>
      <c r="N227" t="n">
        <v>0.7</v>
      </c>
      <c r="O227" t="n">
        <v>0.67</v>
      </c>
      <c r="P227" t="n">
        <v>0.7</v>
      </c>
      <c r="Q227" t="n">
        <v>0.67</v>
      </c>
      <c r="R227" t="n">
        <v>0.7</v>
      </c>
      <c r="S227" t="n">
        <v>0.7</v>
      </c>
      <c r="T227" t="n">
        <v>0.67</v>
      </c>
      <c r="U227" t="n">
        <v>0.7</v>
      </c>
      <c r="V227" t="n">
        <v>0.67</v>
      </c>
      <c r="W227" t="n">
        <v>0.7</v>
      </c>
      <c r="X227" t="n">
        <v>0.0345</v>
      </c>
      <c r="Y227" t="n">
        <v>0.0345</v>
      </c>
      <c r="Z227" t="n">
        <v>0.0345</v>
      </c>
      <c r="AA227" t="n">
        <v>0.0345</v>
      </c>
      <c r="AB227" t="n">
        <v>0.0345</v>
      </c>
      <c r="AC227" t="n">
        <v>0.0345</v>
      </c>
      <c r="AD227" t="n">
        <v>0.0345</v>
      </c>
      <c r="AE227" t="n">
        <v>0.0345</v>
      </c>
      <c r="AF227" t="n">
        <v>0.0345</v>
      </c>
      <c r="AG227" t="n">
        <v>0.0345</v>
      </c>
      <c r="AH227" t="n">
        <v>0.0345</v>
      </c>
      <c r="AI227" t="n">
        <v>0.0345</v>
      </c>
    </row>
    <row r="228">
      <c r="A228" t="n">
        <v>59</v>
      </c>
      <c r="B228" s="13" t="n">
        <v>45931</v>
      </c>
      <c r="C228" s="13" t="n">
        <v>46295</v>
      </c>
      <c r="D228" s="13" t="n">
        <v>45931</v>
      </c>
      <c r="E228" t="n">
        <v>0</v>
      </c>
      <c r="F228" s="13" t="n">
        <v>46295</v>
      </c>
      <c r="G228" t="n">
        <v>6</v>
      </c>
      <c r="H228" t="n">
        <v>1.78</v>
      </c>
      <c r="I228" t="n">
        <v>1.8</v>
      </c>
      <c r="J228" t="n">
        <v>1.81</v>
      </c>
      <c r="K228" t="n">
        <v>1.81</v>
      </c>
      <c r="L228" t="n">
        <v>0.66</v>
      </c>
      <c r="M228" t="n">
        <v>0.6</v>
      </c>
      <c r="N228" t="n">
        <v>0.66</v>
      </c>
      <c r="O228" t="n">
        <v>0.64</v>
      </c>
      <c r="P228" t="n">
        <v>0.66</v>
      </c>
      <c r="Q228" t="n">
        <v>0.64</v>
      </c>
      <c r="R228" t="n">
        <v>0.66</v>
      </c>
      <c r="S228" t="n">
        <v>0.66</v>
      </c>
      <c r="T228" t="n">
        <v>0.64</v>
      </c>
      <c r="U228" t="n">
        <v>0.66</v>
      </c>
      <c r="V228" t="n">
        <v>0.64</v>
      </c>
      <c r="W228" t="n">
        <v>0.66</v>
      </c>
      <c r="X228" t="n">
        <v>0.0329</v>
      </c>
      <c r="Y228" t="n">
        <v>0.0329</v>
      </c>
      <c r="Z228" t="n">
        <v>0.0329</v>
      </c>
      <c r="AA228" t="n">
        <v>0.0329</v>
      </c>
      <c r="AB228" t="n">
        <v>0.0329</v>
      </c>
      <c r="AC228" t="n">
        <v>0.0329</v>
      </c>
      <c r="AD228" t="n">
        <v>0.0329</v>
      </c>
      <c r="AE228" t="n">
        <v>0.0329</v>
      </c>
      <c r="AF228" t="n">
        <v>0.0329</v>
      </c>
      <c r="AG228" t="n">
        <v>0.0329</v>
      </c>
      <c r="AH228" t="n">
        <v>0.0329</v>
      </c>
      <c r="AI228" t="n">
        <v>0.0329</v>
      </c>
    </row>
    <row r="229">
      <c r="A229" t="n">
        <v>59</v>
      </c>
      <c r="B229" s="13" t="n">
        <v>46296</v>
      </c>
      <c r="C229" s="13" t="n">
        <v>2958465</v>
      </c>
      <c r="D229" s="13" t="n">
        <v>46296</v>
      </c>
      <c r="E229" t="n">
        <v>1</v>
      </c>
      <c r="G229" t="n">
        <v>6.2</v>
      </c>
      <c r="H229" t="n">
        <v>1.83</v>
      </c>
      <c r="I229" t="n">
        <v>1.85</v>
      </c>
      <c r="J229" t="n">
        <v>1.88</v>
      </c>
      <c r="K229" t="n">
        <v>1.88</v>
      </c>
      <c r="L229" t="n">
        <v>0.68</v>
      </c>
      <c r="M229" t="n">
        <v>0.62</v>
      </c>
      <c r="N229" t="n">
        <v>0.68</v>
      </c>
      <c r="O229" t="n">
        <v>0.66</v>
      </c>
      <c r="P229" t="n">
        <v>0.68</v>
      </c>
      <c r="Q229" t="n">
        <v>0.66</v>
      </c>
      <c r="R229" t="n">
        <v>0.68</v>
      </c>
      <c r="S229" t="n">
        <v>0.68</v>
      </c>
      <c r="T229" t="n">
        <v>0.66</v>
      </c>
      <c r="U229" t="n">
        <v>0.68</v>
      </c>
      <c r="V229" t="n">
        <v>0.66</v>
      </c>
      <c r="W229" t="n">
        <v>0.68</v>
      </c>
      <c r="X229" t="n">
        <v>0.034</v>
      </c>
      <c r="Y229" t="n">
        <v>0.034</v>
      </c>
      <c r="Z229" t="n">
        <v>0.034</v>
      </c>
      <c r="AA229" t="n">
        <v>0.034</v>
      </c>
      <c r="AB229" t="n">
        <v>0.034</v>
      </c>
      <c r="AC229" t="n">
        <v>0.034</v>
      </c>
      <c r="AD229" t="n">
        <v>0.034</v>
      </c>
      <c r="AE229" t="n">
        <v>0.034</v>
      </c>
      <c r="AF229" t="n">
        <v>0.034</v>
      </c>
      <c r="AG229" t="n">
        <v>0.034</v>
      </c>
      <c r="AH229" t="n">
        <v>0.034</v>
      </c>
      <c r="AI229" t="n">
        <v>0.034</v>
      </c>
    </row>
    <row r="230">
      <c r="A230" t="n">
        <v>60</v>
      </c>
      <c r="B230" s="13" t="n">
        <v>45566</v>
      </c>
      <c r="C230" s="13" t="n">
        <v>45930</v>
      </c>
      <c r="D230" s="13" t="n">
        <v>45566</v>
      </c>
      <c r="E230" t="n">
        <v>0</v>
      </c>
      <c r="F230" s="13" t="n">
        <v>45930</v>
      </c>
      <c r="G230" t="n">
        <v>3.42</v>
      </c>
      <c r="H230" t="n">
        <v>1.01</v>
      </c>
      <c r="I230" t="n">
        <v>1.02</v>
      </c>
      <c r="J230" t="n">
        <v>1.03</v>
      </c>
      <c r="K230" t="n">
        <v>1.03</v>
      </c>
      <c r="L230" t="n">
        <v>0.38</v>
      </c>
      <c r="M230" t="n">
        <v>0.34</v>
      </c>
      <c r="N230" t="n">
        <v>0.38</v>
      </c>
      <c r="O230" t="n">
        <v>0.37</v>
      </c>
      <c r="P230" t="n">
        <v>0.38</v>
      </c>
      <c r="Q230" t="n">
        <v>0.37</v>
      </c>
      <c r="R230" t="n">
        <v>0.38</v>
      </c>
      <c r="S230" t="n">
        <v>0.38</v>
      </c>
      <c r="T230" t="n">
        <v>0.37</v>
      </c>
      <c r="U230" t="n">
        <v>0.38</v>
      </c>
      <c r="V230" t="n">
        <v>0.37</v>
      </c>
      <c r="W230" t="n">
        <v>0.38</v>
      </c>
      <c r="X230" t="n">
        <v>0.0187</v>
      </c>
      <c r="Y230" t="n">
        <v>0.0187</v>
      </c>
      <c r="Z230" t="n">
        <v>0.0187</v>
      </c>
      <c r="AA230" t="n">
        <v>0.0187</v>
      </c>
      <c r="AB230" t="n">
        <v>0.0187</v>
      </c>
      <c r="AC230" t="n">
        <v>0.0187</v>
      </c>
      <c r="AD230" t="n">
        <v>0.0187</v>
      </c>
      <c r="AE230" t="n">
        <v>0.0187</v>
      </c>
      <c r="AF230" t="n">
        <v>0.0187</v>
      </c>
      <c r="AG230" t="n">
        <v>0.0187</v>
      </c>
      <c r="AH230" t="n">
        <v>0.0187</v>
      </c>
      <c r="AI230" t="n">
        <v>0.0187</v>
      </c>
    </row>
    <row r="231">
      <c r="A231" t="n">
        <v>60</v>
      </c>
      <c r="B231" s="13" t="n">
        <v>45931</v>
      </c>
      <c r="C231" s="13" t="n">
        <v>46295</v>
      </c>
      <c r="D231" s="13" t="n">
        <v>45931</v>
      </c>
      <c r="E231" t="n">
        <v>0</v>
      </c>
      <c r="F231" s="13" t="n">
        <v>46295</v>
      </c>
      <c r="G231" t="n">
        <v>3.25</v>
      </c>
      <c r="H231" t="n">
        <v>0.96</v>
      </c>
      <c r="I231" t="n">
        <v>0.97</v>
      </c>
      <c r="J231" t="n">
        <v>0.98</v>
      </c>
      <c r="K231" t="n">
        <v>0.98</v>
      </c>
      <c r="L231" t="n">
        <v>0.36</v>
      </c>
      <c r="M231" t="n">
        <v>0.32</v>
      </c>
      <c r="N231" t="n">
        <v>0.36</v>
      </c>
      <c r="O231" t="n">
        <v>0.35</v>
      </c>
      <c r="P231" t="n">
        <v>0.36</v>
      </c>
      <c r="Q231" t="n">
        <v>0.35</v>
      </c>
      <c r="R231" t="n">
        <v>0.36</v>
      </c>
      <c r="S231" t="n">
        <v>0.36</v>
      </c>
      <c r="T231" t="n">
        <v>0.35</v>
      </c>
      <c r="U231" t="n">
        <v>0.36</v>
      </c>
      <c r="V231" t="n">
        <v>0.35</v>
      </c>
      <c r="W231" t="n">
        <v>0.36</v>
      </c>
      <c r="X231" t="n">
        <v>0.0178</v>
      </c>
      <c r="Y231" t="n">
        <v>0.0178</v>
      </c>
      <c r="Z231" t="n">
        <v>0.0178</v>
      </c>
      <c r="AA231" t="n">
        <v>0.0178</v>
      </c>
      <c r="AB231" t="n">
        <v>0.0178</v>
      </c>
      <c r="AC231" t="n">
        <v>0.0178</v>
      </c>
      <c r="AD231" t="n">
        <v>0.0178</v>
      </c>
      <c r="AE231" t="n">
        <v>0.0178</v>
      </c>
      <c r="AF231" t="n">
        <v>0.0178</v>
      </c>
      <c r="AG231" t="n">
        <v>0.0178</v>
      </c>
      <c r="AH231" t="n">
        <v>0.0178</v>
      </c>
      <c r="AI231" t="n">
        <v>0.0178</v>
      </c>
    </row>
    <row r="232">
      <c r="A232" t="n">
        <v>60</v>
      </c>
      <c r="B232" s="13" t="n">
        <v>46296</v>
      </c>
      <c r="C232" s="13" t="n">
        <v>2958465</v>
      </c>
      <c r="D232" s="13" t="n">
        <v>46296</v>
      </c>
      <c r="E232" t="n">
        <v>1</v>
      </c>
      <c r="G232" t="n">
        <v>3.25</v>
      </c>
      <c r="H232" t="n">
        <v>0.96</v>
      </c>
      <c r="I232" t="n">
        <v>0.97</v>
      </c>
      <c r="J232" t="n">
        <v>0.98</v>
      </c>
      <c r="K232" t="n">
        <v>0.98</v>
      </c>
      <c r="L232" t="n">
        <v>0.37</v>
      </c>
      <c r="M232" t="n">
        <v>0.34</v>
      </c>
      <c r="N232" t="n">
        <v>0.37</v>
      </c>
      <c r="O232" t="n">
        <v>0.36</v>
      </c>
      <c r="P232" t="n">
        <v>0.37</v>
      </c>
      <c r="Q232" t="n">
        <v>0.36</v>
      </c>
      <c r="R232" t="n">
        <v>0.37</v>
      </c>
      <c r="S232" t="n">
        <v>0.37</v>
      </c>
      <c r="T232" t="n">
        <v>0.36</v>
      </c>
      <c r="U232" t="n">
        <v>0.37</v>
      </c>
      <c r="V232" t="n">
        <v>0.36</v>
      </c>
      <c r="W232" t="n">
        <v>0.37</v>
      </c>
      <c r="X232" t="n">
        <v>0.0184</v>
      </c>
      <c r="Y232" t="n">
        <v>0.0184</v>
      </c>
      <c r="Z232" t="n">
        <v>0.0184</v>
      </c>
      <c r="AA232" t="n">
        <v>0.0184</v>
      </c>
      <c r="AB232" t="n">
        <v>0.0184</v>
      </c>
      <c r="AC232" t="n">
        <v>0.0184</v>
      </c>
      <c r="AD232" t="n">
        <v>0.0184</v>
      </c>
      <c r="AE232" t="n">
        <v>0.0184</v>
      </c>
      <c r="AF232" t="n">
        <v>0.0184</v>
      </c>
      <c r="AG232" t="n">
        <v>0.0184</v>
      </c>
      <c r="AH232" t="n">
        <v>0.0184</v>
      </c>
      <c r="AI232" t="n">
        <v>0.0184</v>
      </c>
    </row>
    <row r="233">
      <c r="A233" t="n">
        <v>61</v>
      </c>
      <c r="B233" s="13" t="n">
        <v>45566</v>
      </c>
      <c r="C233" s="13" t="n">
        <v>45930</v>
      </c>
      <c r="D233" s="13" t="n">
        <v>45566</v>
      </c>
      <c r="E233" t="n">
        <v>0</v>
      </c>
      <c r="F233" s="13" t="n">
        <v>45930</v>
      </c>
      <c r="G233" t="n">
        <v>2.99</v>
      </c>
      <c r="H233" t="n">
        <v>0.88</v>
      </c>
      <c r="I233" t="n">
        <v>0.89</v>
      </c>
      <c r="J233" t="n">
        <v>0.91</v>
      </c>
      <c r="K233" t="n">
        <v>0.91</v>
      </c>
      <c r="L233" t="n">
        <v>0.33</v>
      </c>
      <c r="M233" t="n">
        <v>0.3</v>
      </c>
      <c r="N233" t="n">
        <v>0.33</v>
      </c>
      <c r="O233" t="n">
        <v>0.32</v>
      </c>
      <c r="P233" t="n">
        <v>0.33</v>
      </c>
      <c r="Q233" t="n">
        <v>0.32</v>
      </c>
      <c r="R233" t="n">
        <v>0.33</v>
      </c>
      <c r="S233" t="n">
        <v>0.33</v>
      </c>
      <c r="T233" t="n">
        <v>0.32</v>
      </c>
      <c r="U233" t="n">
        <v>0.33</v>
      </c>
      <c r="V233" t="n">
        <v>0.32</v>
      </c>
      <c r="W233" t="n">
        <v>0.33</v>
      </c>
      <c r="X233" t="n">
        <v>0.0164</v>
      </c>
      <c r="Y233" t="n">
        <v>0.0164</v>
      </c>
      <c r="Z233" t="n">
        <v>0.0164</v>
      </c>
      <c r="AA233" t="n">
        <v>0.0164</v>
      </c>
      <c r="AB233" t="n">
        <v>0.0164</v>
      </c>
      <c r="AC233" t="n">
        <v>0.0164</v>
      </c>
      <c r="AD233" t="n">
        <v>0.0164</v>
      </c>
      <c r="AE233" t="n">
        <v>0.0164</v>
      </c>
      <c r="AF233" t="n">
        <v>0.0164</v>
      </c>
      <c r="AG233" t="n">
        <v>0.0164</v>
      </c>
      <c r="AH233" t="n">
        <v>0.0164</v>
      </c>
      <c r="AI233" t="n">
        <v>0.0164</v>
      </c>
    </row>
    <row r="234">
      <c r="A234" t="n">
        <v>61</v>
      </c>
      <c r="B234" s="13" t="n">
        <v>45931</v>
      </c>
      <c r="C234" s="13" t="n">
        <v>46295</v>
      </c>
      <c r="D234" s="13" t="n">
        <v>45931</v>
      </c>
      <c r="E234" t="n">
        <v>0</v>
      </c>
      <c r="F234" s="13" t="n">
        <v>46295</v>
      </c>
      <c r="G234" t="n">
        <v>2.85</v>
      </c>
      <c r="H234" t="n">
        <v>0.85</v>
      </c>
      <c r="I234" t="n">
        <v>0.86</v>
      </c>
      <c r="J234" t="n">
        <v>0.86</v>
      </c>
      <c r="K234" t="n">
        <v>0.86</v>
      </c>
      <c r="L234" t="n">
        <v>0.31</v>
      </c>
      <c r="M234" t="n">
        <v>0.29</v>
      </c>
      <c r="N234" t="n">
        <v>0.31</v>
      </c>
      <c r="O234" t="n">
        <v>0.3</v>
      </c>
      <c r="P234" t="n">
        <v>0.31</v>
      </c>
      <c r="Q234" t="n">
        <v>0.3</v>
      </c>
      <c r="R234" t="n">
        <v>0.31</v>
      </c>
      <c r="S234" t="n">
        <v>0.31</v>
      </c>
      <c r="T234" t="n">
        <v>0.3</v>
      </c>
      <c r="U234" t="n">
        <v>0.31</v>
      </c>
      <c r="V234" t="n">
        <v>0.3</v>
      </c>
      <c r="W234" t="n">
        <v>0.31</v>
      </c>
      <c r="X234" t="n">
        <v>0.0156</v>
      </c>
      <c r="Y234" t="n">
        <v>0.0156</v>
      </c>
      <c r="Z234" t="n">
        <v>0.0156</v>
      </c>
      <c r="AA234" t="n">
        <v>0.0156</v>
      </c>
      <c r="AB234" t="n">
        <v>0.0156</v>
      </c>
      <c r="AC234" t="n">
        <v>0.0156</v>
      </c>
      <c r="AD234" t="n">
        <v>0.0156</v>
      </c>
      <c r="AE234" t="n">
        <v>0.0156</v>
      </c>
      <c r="AF234" t="n">
        <v>0.0156</v>
      </c>
      <c r="AG234" t="n">
        <v>0.0156</v>
      </c>
      <c r="AH234" t="n">
        <v>0.0156</v>
      </c>
      <c r="AI234" t="n">
        <v>0.0156</v>
      </c>
    </row>
    <row r="235">
      <c r="A235" t="n">
        <v>61</v>
      </c>
      <c r="B235" s="13" t="n">
        <v>46296</v>
      </c>
      <c r="C235" s="13" t="n">
        <v>2958465</v>
      </c>
      <c r="D235" s="13" t="n">
        <v>46296</v>
      </c>
      <c r="E235" t="n">
        <v>1</v>
      </c>
      <c r="G235" t="n">
        <v>2.95</v>
      </c>
      <c r="H235" t="n">
        <v>0.87</v>
      </c>
      <c r="I235" t="n">
        <v>0.88</v>
      </c>
      <c r="J235" t="n">
        <v>0.89</v>
      </c>
      <c r="K235" t="n">
        <v>0.89</v>
      </c>
      <c r="L235" t="n">
        <v>0.32</v>
      </c>
      <c r="M235" t="n">
        <v>0.29</v>
      </c>
      <c r="N235" t="n">
        <v>0.32</v>
      </c>
      <c r="O235" t="n">
        <v>0.31</v>
      </c>
      <c r="P235" t="n">
        <v>0.32</v>
      </c>
      <c r="Q235" t="n">
        <v>0.31</v>
      </c>
      <c r="R235" t="n">
        <v>0.32</v>
      </c>
      <c r="S235" t="n">
        <v>0.32</v>
      </c>
      <c r="T235" t="n">
        <v>0.31</v>
      </c>
      <c r="U235" t="n">
        <v>0.32</v>
      </c>
      <c r="V235" t="n">
        <v>0.31</v>
      </c>
      <c r="W235" t="n">
        <v>0.32</v>
      </c>
      <c r="X235" t="n">
        <v>0.0162</v>
      </c>
      <c r="Y235" t="n">
        <v>0.0162</v>
      </c>
      <c r="Z235" t="n">
        <v>0.0162</v>
      </c>
      <c r="AA235" t="n">
        <v>0.0162</v>
      </c>
      <c r="AB235" t="n">
        <v>0.0162</v>
      </c>
      <c r="AC235" t="n">
        <v>0.0162</v>
      </c>
      <c r="AD235" t="n">
        <v>0.0162</v>
      </c>
      <c r="AE235" t="n">
        <v>0.0162</v>
      </c>
      <c r="AF235" t="n">
        <v>0.0162</v>
      </c>
      <c r="AG235" t="n">
        <v>0.0162</v>
      </c>
      <c r="AH235" t="n">
        <v>0.0162</v>
      </c>
      <c r="AI235" t="n">
        <v>0.0162</v>
      </c>
    </row>
    <row r="236">
      <c r="A236" t="n">
        <v>62</v>
      </c>
      <c r="B236" s="13" t="n">
        <v>44835</v>
      </c>
      <c r="C236" s="13" t="n">
        <v>45199</v>
      </c>
      <c r="D236" s="13" t="n">
        <v>44835</v>
      </c>
      <c r="E236" t="n">
        <v>0</v>
      </c>
      <c r="F236" s="13" t="n">
        <v>45199</v>
      </c>
      <c r="G236" t="n">
        <v>6.32</v>
      </c>
      <c r="H236" t="n">
        <v>1.87</v>
      </c>
      <c r="I236" t="n">
        <v>1.89</v>
      </c>
      <c r="J236" t="n">
        <v>1.91</v>
      </c>
      <c r="K236" t="n">
        <v>1.91</v>
      </c>
      <c r="L236" t="n">
        <v>0.7</v>
      </c>
      <c r="M236" t="n">
        <v>0.63</v>
      </c>
      <c r="N236" t="n">
        <v>0.7</v>
      </c>
      <c r="O236" t="n">
        <v>0.68</v>
      </c>
      <c r="P236" t="n">
        <v>0.7</v>
      </c>
      <c r="Q236" t="n">
        <v>0.68</v>
      </c>
      <c r="R236" t="n">
        <v>0.7</v>
      </c>
      <c r="S236" t="n">
        <v>0.7</v>
      </c>
      <c r="T236" t="n">
        <v>0.68</v>
      </c>
      <c r="U236" t="n">
        <v>0.7</v>
      </c>
      <c r="V236" t="n">
        <v>0.68</v>
      </c>
      <c r="W236" t="n">
        <v>0.7</v>
      </c>
      <c r="X236" t="n">
        <v>0.035</v>
      </c>
      <c r="Y236" t="n">
        <v>0.035</v>
      </c>
      <c r="Z236" t="n">
        <v>0.035</v>
      </c>
      <c r="AA236" t="n">
        <v>0.035</v>
      </c>
      <c r="AB236" t="n">
        <v>0.035</v>
      </c>
      <c r="AC236" t="n">
        <v>0.035</v>
      </c>
      <c r="AD236" t="n">
        <v>0.035</v>
      </c>
      <c r="AE236" t="n">
        <v>0.035</v>
      </c>
      <c r="AF236" t="n">
        <v>0.035</v>
      </c>
      <c r="AG236" t="n">
        <v>0.035</v>
      </c>
      <c r="AH236" t="n">
        <v>0.035</v>
      </c>
      <c r="AI236" t="n">
        <v>0.035</v>
      </c>
    </row>
    <row r="237">
      <c r="A237" t="n">
        <v>62</v>
      </c>
      <c r="B237" s="13" t="n">
        <v>45200</v>
      </c>
      <c r="C237" s="13" t="n">
        <v>45322</v>
      </c>
      <c r="D237" s="13" t="n">
        <v>45200</v>
      </c>
      <c r="E237" t="n">
        <v>0</v>
      </c>
      <c r="F237" s="13" t="n">
        <v>45322</v>
      </c>
      <c r="G237" t="n">
        <v>6.25</v>
      </c>
      <c r="H237" t="n">
        <v>1.85</v>
      </c>
      <c r="I237" t="n">
        <v>1.87</v>
      </c>
      <c r="J237" t="n">
        <v>1.89</v>
      </c>
      <c r="K237" t="n">
        <v>1.89</v>
      </c>
      <c r="L237" t="n">
        <v>0.6899999999999999</v>
      </c>
      <c r="M237" t="n">
        <v>0.62</v>
      </c>
      <c r="N237" t="n">
        <v>0.6899999999999999</v>
      </c>
      <c r="O237" t="n">
        <v>0.67</v>
      </c>
      <c r="P237" t="n">
        <v>0.6899999999999999</v>
      </c>
      <c r="Q237" t="n">
        <v>0.67</v>
      </c>
      <c r="R237" t="n">
        <v>0.6899999999999999</v>
      </c>
      <c r="S237" t="n">
        <v>0.6899999999999999</v>
      </c>
      <c r="T237" t="n">
        <v>0.67</v>
      </c>
      <c r="U237" t="n">
        <v>0.6899999999999999</v>
      </c>
      <c r="V237" t="n">
        <v>0.67</v>
      </c>
      <c r="W237" t="n">
        <v>0.6899999999999999</v>
      </c>
      <c r="X237" t="n">
        <v>0.034</v>
      </c>
      <c r="Y237" t="n">
        <v>0.034</v>
      </c>
      <c r="Z237" t="n">
        <v>0.034</v>
      </c>
      <c r="AA237" t="n">
        <v>0.034</v>
      </c>
      <c r="AB237" t="n">
        <v>0.034</v>
      </c>
      <c r="AC237" t="n">
        <v>0.034</v>
      </c>
      <c r="AD237" t="n">
        <v>0.034</v>
      </c>
      <c r="AE237" t="n">
        <v>0.034</v>
      </c>
      <c r="AF237" t="n">
        <v>0.034</v>
      </c>
      <c r="AG237" t="n">
        <v>0.034</v>
      </c>
      <c r="AH237" t="n">
        <v>0.034</v>
      </c>
      <c r="AI237" t="n">
        <v>0.034</v>
      </c>
    </row>
    <row r="238">
      <c r="A238" t="n">
        <v>62</v>
      </c>
      <c r="B238" s="13" t="n">
        <v>45323</v>
      </c>
      <c r="C238" s="13" t="n">
        <v>45565</v>
      </c>
      <c r="D238" s="13" t="n">
        <v>45323</v>
      </c>
      <c r="E238" t="n">
        <v>0</v>
      </c>
      <c r="F238" s="13" t="n">
        <v>45565</v>
      </c>
      <c r="G238" t="n">
        <v>7.33</v>
      </c>
      <c r="H238" t="n">
        <v>2.19</v>
      </c>
      <c r="I238" t="n">
        <v>2.19</v>
      </c>
      <c r="J238" t="n">
        <v>2.21</v>
      </c>
      <c r="K238" t="n">
        <v>2.21</v>
      </c>
      <c r="L238" t="n">
        <v>0.8100000000000001</v>
      </c>
      <c r="M238" t="n">
        <v>0.76</v>
      </c>
      <c r="N238" t="n">
        <v>0.8100000000000001</v>
      </c>
      <c r="O238" t="n">
        <v>0.78</v>
      </c>
      <c r="P238" t="n">
        <v>0.8100000000000001</v>
      </c>
      <c r="Q238" t="n">
        <v>0.78</v>
      </c>
      <c r="R238" t="n">
        <v>0.8100000000000001</v>
      </c>
      <c r="S238" t="n">
        <v>0.8100000000000001</v>
      </c>
      <c r="T238" t="n">
        <v>0.78</v>
      </c>
      <c r="U238" t="n">
        <v>0.8100000000000001</v>
      </c>
      <c r="V238" t="n">
        <v>0.78</v>
      </c>
      <c r="W238" t="n">
        <v>0.8100000000000001</v>
      </c>
      <c r="X238" t="n">
        <v>0.0401</v>
      </c>
      <c r="Y238" t="n">
        <v>0.0401</v>
      </c>
      <c r="Z238" t="n">
        <v>0.0401</v>
      </c>
      <c r="AA238" t="n">
        <v>0.0401</v>
      </c>
      <c r="AB238" t="n">
        <v>0.0401</v>
      </c>
      <c r="AC238" t="n">
        <v>0.0401</v>
      </c>
      <c r="AD238" t="n">
        <v>0.0401</v>
      </c>
      <c r="AE238" t="n">
        <v>0.0401</v>
      </c>
      <c r="AF238" t="n">
        <v>0.0401</v>
      </c>
      <c r="AG238" t="n">
        <v>0.0401</v>
      </c>
      <c r="AH238" t="n">
        <v>0.0401</v>
      </c>
      <c r="AI238" t="n">
        <v>0.0401</v>
      </c>
    </row>
    <row r="239">
      <c r="A239" t="n">
        <v>62</v>
      </c>
      <c r="B239" s="13" t="n">
        <v>45566</v>
      </c>
      <c r="C239" s="13" t="n">
        <v>45930</v>
      </c>
      <c r="D239" s="13" t="n">
        <v>45566</v>
      </c>
      <c r="E239" t="n">
        <v>0</v>
      </c>
      <c r="F239" s="13" t="n">
        <v>45930</v>
      </c>
      <c r="G239" t="n">
        <v>7.19</v>
      </c>
      <c r="H239" t="n">
        <v>2.13</v>
      </c>
      <c r="I239" t="n">
        <v>2.15</v>
      </c>
      <c r="J239" t="n">
        <v>2.17</v>
      </c>
      <c r="K239" t="n">
        <v>2.17</v>
      </c>
      <c r="L239" t="n">
        <v>0.79</v>
      </c>
      <c r="M239" t="n">
        <v>0.72</v>
      </c>
      <c r="N239" t="n">
        <v>0.79</v>
      </c>
      <c r="O239" t="n">
        <v>0.77</v>
      </c>
      <c r="P239" t="n">
        <v>0.79</v>
      </c>
      <c r="Q239" t="n">
        <v>0.77</v>
      </c>
      <c r="R239" t="n">
        <v>0.79</v>
      </c>
      <c r="S239" t="n">
        <v>0.79</v>
      </c>
      <c r="T239" t="n">
        <v>0.77</v>
      </c>
      <c r="U239" t="n">
        <v>0.79</v>
      </c>
      <c r="V239" t="n">
        <v>0.77</v>
      </c>
      <c r="W239" t="n">
        <v>0.79</v>
      </c>
      <c r="X239" t="n">
        <v>0.0394</v>
      </c>
      <c r="Y239" t="n">
        <v>0.0394</v>
      </c>
      <c r="Z239" t="n">
        <v>0.0394</v>
      </c>
      <c r="AA239" t="n">
        <v>0.0394</v>
      </c>
      <c r="AB239" t="n">
        <v>0.0394</v>
      </c>
      <c r="AC239" t="n">
        <v>0.0394</v>
      </c>
      <c r="AD239" t="n">
        <v>0.0394</v>
      </c>
      <c r="AE239" t="n">
        <v>0.0394</v>
      </c>
      <c r="AF239" t="n">
        <v>0.0394</v>
      </c>
      <c r="AG239" t="n">
        <v>0.0394</v>
      </c>
      <c r="AH239" t="n">
        <v>0.0394</v>
      </c>
      <c r="AI239" t="n">
        <v>0.0394</v>
      </c>
    </row>
    <row r="240">
      <c r="A240" t="n">
        <v>62</v>
      </c>
      <c r="B240" s="13" t="n">
        <v>45931</v>
      </c>
      <c r="C240" s="13" t="n">
        <v>46295</v>
      </c>
      <c r="D240" s="13" t="n">
        <v>45931</v>
      </c>
      <c r="E240" t="n">
        <v>0</v>
      </c>
      <c r="F240" s="13" t="n">
        <v>46295</v>
      </c>
      <c r="G240" t="n">
        <v>6.85</v>
      </c>
      <c r="H240" t="n">
        <v>2.03</v>
      </c>
      <c r="I240" t="n">
        <v>2.05</v>
      </c>
      <c r="J240" t="n">
        <v>2.07</v>
      </c>
      <c r="K240" t="n">
        <v>2.07</v>
      </c>
      <c r="L240" t="n">
        <v>0.76</v>
      </c>
      <c r="M240" t="n">
        <v>0.68</v>
      </c>
      <c r="N240" t="n">
        <v>0.76</v>
      </c>
      <c r="O240" t="n">
        <v>0.73</v>
      </c>
      <c r="P240" t="n">
        <v>0.76</v>
      </c>
      <c r="Q240" t="n">
        <v>0.73</v>
      </c>
      <c r="R240" t="n">
        <v>0.76</v>
      </c>
      <c r="S240" t="n">
        <v>0.76</v>
      </c>
      <c r="T240" t="n">
        <v>0.73</v>
      </c>
      <c r="U240" t="n">
        <v>0.76</v>
      </c>
      <c r="V240" t="n">
        <v>0.73</v>
      </c>
      <c r="W240" t="n">
        <v>0.76</v>
      </c>
      <c r="X240" t="n">
        <v>0.0375</v>
      </c>
      <c r="Y240" t="n">
        <v>0.0375</v>
      </c>
      <c r="Z240" t="n">
        <v>0.0375</v>
      </c>
      <c r="AA240" t="n">
        <v>0.0375</v>
      </c>
      <c r="AB240" t="n">
        <v>0.0375</v>
      </c>
      <c r="AC240" t="n">
        <v>0.0375</v>
      </c>
      <c r="AD240" t="n">
        <v>0.0375</v>
      </c>
      <c r="AE240" t="n">
        <v>0.0375</v>
      </c>
      <c r="AF240" t="n">
        <v>0.0375</v>
      </c>
      <c r="AG240" t="n">
        <v>0.0375</v>
      </c>
      <c r="AH240" t="n">
        <v>0.0375</v>
      </c>
      <c r="AI240" t="n">
        <v>0.0375</v>
      </c>
    </row>
    <row r="241">
      <c r="A241" t="n">
        <v>62</v>
      </c>
      <c r="B241" s="13" t="n">
        <v>46296</v>
      </c>
      <c r="C241" s="13" t="n">
        <v>2958465</v>
      </c>
      <c r="D241" s="13" t="n">
        <v>46296</v>
      </c>
      <c r="E241" t="n">
        <v>1</v>
      </c>
      <c r="G241" t="n">
        <v>7.08</v>
      </c>
      <c r="H241" t="n">
        <v>2.09</v>
      </c>
      <c r="I241" t="n">
        <v>2.12</v>
      </c>
      <c r="J241" t="n">
        <v>2.14</v>
      </c>
      <c r="K241" t="n">
        <v>2.14</v>
      </c>
      <c r="L241" t="n">
        <v>0.78</v>
      </c>
      <c r="M241" t="n">
        <v>0.71</v>
      </c>
      <c r="N241" t="n">
        <v>0.78</v>
      </c>
      <c r="O241" t="n">
        <v>0.76</v>
      </c>
      <c r="P241" t="n">
        <v>0.78</v>
      </c>
      <c r="Q241" t="n">
        <v>0.76</v>
      </c>
      <c r="R241" t="n">
        <v>0.78</v>
      </c>
      <c r="S241" t="n">
        <v>0.78</v>
      </c>
      <c r="T241" t="n">
        <v>0.76</v>
      </c>
      <c r="U241" t="n">
        <v>0.78</v>
      </c>
      <c r="V241" t="n">
        <v>0.76</v>
      </c>
      <c r="W241" t="n">
        <v>0.78</v>
      </c>
      <c r="X241" t="n">
        <v>0.0388</v>
      </c>
      <c r="Y241" t="n">
        <v>0.0388</v>
      </c>
      <c r="Z241" t="n">
        <v>0.0388</v>
      </c>
      <c r="AA241" t="n">
        <v>0.0388</v>
      </c>
      <c r="AB241" t="n">
        <v>0.0388</v>
      </c>
      <c r="AC241" t="n">
        <v>0.0388</v>
      </c>
      <c r="AD241" t="n">
        <v>0.0388</v>
      </c>
      <c r="AE241" t="n">
        <v>0.0388</v>
      </c>
      <c r="AF241" t="n">
        <v>0.0388</v>
      </c>
      <c r="AG241" t="n">
        <v>0.0388</v>
      </c>
      <c r="AH241" t="n">
        <v>0.0388</v>
      </c>
      <c r="AI241" t="n">
        <v>0.0388</v>
      </c>
    </row>
    <row r="242">
      <c r="A242" t="n">
        <v>63</v>
      </c>
      <c r="B242" s="13" t="n">
        <v>44562</v>
      </c>
      <c r="C242" s="13" t="n">
        <v>44926</v>
      </c>
      <c r="D242" s="13" t="n">
        <v>44562</v>
      </c>
      <c r="E242" t="n">
        <v>0</v>
      </c>
      <c r="F242" s="13" t="n">
        <v>44926</v>
      </c>
      <c r="G242" t="n">
        <v>3.51</v>
      </c>
      <c r="H242" t="n">
        <v>0.952</v>
      </c>
      <c r="I242" t="n">
        <v>0.963</v>
      </c>
      <c r="J242" t="n">
        <v>0.973</v>
      </c>
      <c r="K242" t="n">
        <v>0.973</v>
      </c>
      <c r="L242" t="n">
        <v>0.373</v>
      </c>
      <c r="M242" t="n">
        <v>0.337</v>
      </c>
      <c r="N242" t="n">
        <v>0.373</v>
      </c>
      <c r="O242" t="n">
        <v>0.0361</v>
      </c>
      <c r="P242" t="n">
        <v>0.373</v>
      </c>
      <c r="Q242" t="n">
        <v>0.0361</v>
      </c>
      <c r="R242" t="n">
        <v>0.373</v>
      </c>
      <c r="S242" t="n">
        <v>0.373</v>
      </c>
      <c r="T242" t="n">
        <v>0.361</v>
      </c>
      <c r="U242" t="n">
        <v>0.373</v>
      </c>
      <c r="V242" t="n">
        <v>0.361</v>
      </c>
      <c r="W242" t="n">
        <v>0.373</v>
      </c>
      <c r="X242" t="n">
        <v>0.013</v>
      </c>
      <c r="Y242" t="n">
        <v>0.013</v>
      </c>
      <c r="Z242" t="n">
        <v>0.013</v>
      </c>
      <c r="AA242" t="n">
        <v>0.013</v>
      </c>
      <c r="AB242" t="n">
        <v>0.013</v>
      </c>
      <c r="AC242" t="n">
        <v>0.013</v>
      </c>
      <c r="AD242" t="n">
        <v>0.013</v>
      </c>
      <c r="AE242" t="n">
        <v>0.013</v>
      </c>
      <c r="AF242" t="n">
        <v>0.013</v>
      </c>
      <c r="AG242" t="n">
        <v>0.013</v>
      </c>
      <c r="AH242" t="n">
        <v>0.013</v>
      </c>
      <c r="AI242" t="n">
        <v>0.013</v>
      </c>
    </row>
    <row r="243">
      <c r="A243" t="n">
        <v>63</v>
      </c>
      <c r="B243" s="13" t="n">
        <v>44927</v>
      </c>
      <c r="C243" s="13" t="n">
        <v>45291</v>
      </c>
      <c r="D243" s="13" t="n">
        <v>44927</v>
      </c>
      <c r="E243" t="n">
        <v>0</v>
      </c>
      <c r="F243" s="13" t="n">
        <v>45291</v>
      </c>
      <c r="G243" t="n">
        <v>6.03</v>
      </c>
      <c r="H243" t="n">
        <v>1.636</v>
      </c>
      <c r="I243" t="n">
        <v>1.654</v>
      </c>
      <c r="J243" t="n">
        <v>1.672</v>
      </c>
      <c r="K243" t="n">
        <v>1.672</v>
      </c>
      <c r="L243" t="n">
        <v>0.64</v>
      </c>
      <c r="M243" t="n">
        <v>0.578</v>
      </c>
      <c r="N243" t="n">
        <v>0.64</v>
      </c>
      <c r="O243" t="n">
        <v>0.62</v>
      </c>
      <c r="P243" t="n">
        <v>0.64</v>
      </c>
      <c r="Q243" t="n">
        <v>0.62</v>
      </c>
      <c r="R243" t="n">
        <v>0.64</v>
      </c>
      <c r="S243" t="n">
        <v>0.64</v>
      </c>
      <c r="T243" t="n">
        <v>0.62</v>
      </c>
      <c r="U243" t="n">
        <v>0.64</v>
      </c>
      <c r="V243" t="n">
        <v>0.62</v>
      </c>
      <c r="W243" t="n">
        <v>0.64</v>
      </c>
      <c r="X243" t="n">
        <v>0.023</v>
      </c>
      <c r="Y243" t="n">
        <v>0.023</v>
      </c>
      <c r="Z243" t="n">
        <v>0.023</v>
      </c>
      <c r="AA243" t="n">
        <v>0.023</v>
      </c>
      <c r="AB243" t="n">
        <v>0.023</v>
      </c>
      <c r="AC243" t="n">
        <v>0.023</v>
      </c>
      <c r="AD243" t="n">
        <v>0.023</v>
      </c>
      <c r="AE243" t="n">
        <v>0.023</v>
      </c>
      <c r="AF243" t="n">
        <v>0.023</v>
      </c>
      <c r="AG243" t="n">
        <v>0.023</v>
      </c>
      <c r="AH243" t="n">
        <v>0.023</v>
      </c>
      <c r="AI243" t="n">
        <v>0.023</v>
      </c>
    </row>
    <row r="244">
      <c r="A244" t="n">
        <v>63</v>
      </c>
      <c r="B244" s="13" t="n">
        <v>45292</v>
      </c>
      <c r="C244" s="13" t="n">
        <v>45657</v>
      </c>
      <c r="D244" s="13" t="n">
        <v>45292</v>
      </c>
      <c r="E244" t="n">
        <v>0</v>
      </c>
      <c r="F244" s="13" t="n">
        <v>45657</v>
      </c>
      <c r="G244" t="n">
        <v>5.1</v>
      </c>
      <c r="H244" t="n">
        <v>1.398658</v>
      </c>
      <c r="I244" t="n">
        <v>1.398658</v>
      </c>
      <c r="J244" t="n">
        <v>1.414027</v>
      </c>
      <c r="K244" t="n">
        <v>1.414</v>
      </c>
      <c r="L244" t="n">
        <v>0.541438</v>
      </c>
      <c r="M244" t="n">
        <v>0.506507</v>
      </c>
      <c r="N244" t="n">
        <v>0.541438</v>
      </c>
      <c r="O244" t="n">
        <v>0.523973</v>
      </c>
      <c r="P244" t="n">
        <v>0.541438</v>
      </c>
      <c r="Q244" t="n">
        <v>0.523973</v>
      </c>
      <c r="R244" t="n">
        <v>0.541438</v>
      </c>
      <c r="S244" t="n">
        <v>0.541438</v>
      </c>
      <c r="T244" t="n">
        <v>0.523973</v>
      </c>
      <c r="U244" t="n">
        <v>0.541438</v>
      </c>
      <c r="V244" t="n">
        <v>0.523973</v>
      </c>
      <c r="W244" t="n">
        <v>0.541438</v>
      </c>
      <c r="X244" t="n">
        <v>0.019562</v>
      </c>
      <c r="Y244" t="n">
        <v>0.019562</v>
      </c>
      <c r="Z244" t="n">
        <v>0.019562</v>
      </c>
      <c r="AA244" t="n">
        <v>0.019562</v>
      </c>
      <c r="AB244" t="n">
        <v>0.019562</v>
      </c>
      <c r="AC244" t="n">
        <v>0.019562</v>
      </c>
      <c r="AD244" t="n">
        <v>0.019562</v>
      </c>
      <c r="AE244" t="n">
        <v>0.019562</v>
      </c>
      <c r="AF244" t="n">
        <v>0.019562</v>
      </c>
      <c r="AG244" t="n">
        <v>0.019562</v>
      </c>
      <c r="AH244" t="n">
        <v>0.019562</v>
      </c>
      <c r="AI244" t="n">
        <v>0.019562</v>
      </c>
    </row>
    <row r="245">
      <c r="A245" t="n">
        <v>63</v>
      </c>
      <c r="B245" s="13" t="n">
        <v>45658</v>
      </c>
      <c r="C245" s="13" t="n">
        <v>46022</v>
      </c>
      <c r="D245" s="13" t="n">
        <v>45658</v>
      </c>
      <c r="E245" t="n">
        <v>0</v>
      </c>
      <c r="F245" s="13" t="n">
        <v>46022</v>
      </c>
      <c r="G245" t="n">
        <v>6.71</v>
      </c>
      <c r="H245" t="n">
        <v>1.819</v>
      </c>
      <c r="I245" t="n">
        <v>1.84</v>
      </c>
      <c r="J245" t="n">
        <v>1.86</v>
      </c>
      <c r="K245" t="n">
        <v>1.86</v>
      </c>
      <c r="L245" t="n">
        <v>0.712</v>
      </c>
      <c r="M245" t="n">
        <v>0.643</v>
      </c>
      <c r="N245" t="n">
        <v>0.712</v>
      </c>
      <c r="O245" t="n">
        <v>0.6889999999999999</v>
      </c>
      <c r="P245" t="n">
        <v>0.712</v>
      </c>
      <c r="Q245" t="n">
        <v>0.6889999999999999</v>
      </c>
      <c r="R245" t="n">
        <v>0.712</v>
      </c>
      <c r="S245" t="n">
        <v>0.712</v>
      </c>
      <c r="T245" t="n">
        <v>0.6889999999999999</v>
      </c>
      <c r="U245" t="n">
        <v>0.712</v>
      </c>
      <c r="V245" t="n">
        <v>0.6889999999999999</v>
      </c>
      <c r="W245" t="n">
        <v>0.712</v>
      </c>
      <c r="X245" t="n">
        <v>0.026</v>
      </c>
      <c r="Y245" t="n">
        <v>0.026</v>
      </c>
      <c r="Z245" t="n">
        <v>0.026</v>
      </c>
      <c r="AA245" t="n">
        <v>0.026</v>
      </c>
      <c r="AB245" t="n">
        <v>0.026</v>
      </c>
      <c r="AC245" t="n">
        <v>0.026</v>
      </c>
      <c r="AD245" t="n">
        <v>0.026</v>
      </c>
      <c r="AE245" t="n">
        <v>0.026</v>
      </c>
      <c r="AF245" t="n">
        <v>0.026</v>
      </c>
      <c r="AG245" t="n">
        <v>0.026</v>
      </c>
      <c r="AH245" t="n">
        <v>0.026</v>
      </c>
      <c r="AI245" t="n">
        <v>0.026</v>
      </c>
    </row>
    <row r="246">
      <c r="A246" t="n">
        <v>63</v>
      </c>
      <c r="B246" s="13" t="n">
        <v>46023</v>
      </c>
      <c r="C246" s="13" t="n">
        <v>46387</v>
      </c>
      <c r="D246" s="13" t="n">
        <v>46023</v>
      </c>
      <c r="E246" t="n">
        <v>0</v>
      </c>
      <c r="F246" s="13" t="n">
        <v>46387</v>
      </c>
      <c r="G246" t="n">
        <v>7.06</v>
      </c>
      <c r="H246" t="n">
        <v>1.9149041</v>
      </c>
      <c r="I246" t="n">
        <v>1.9361808</v>
      </c>
      <c r="J246" t="n">
        <v>1.9574575</v>
      </c>
      <c r="K246" t="n">
        <v>1.9574575</v>
      </c>
      <c r="L246" t="n">
        <v>0.7495205</v>
      </c>
      <c r="M246" t="n">
        <v>0.6769863</v>
      </c>
      <c r="N246" t="n">
        <v>0.7495205</v>
      </c>
      <c r="O246" t="n">
        <v>0.7253425</v>
      </c>
      <c r="P246" t="n">
        <v>0.7495205</v>
      </c>
      <c r="Q246" t="n">
        <v>0.7253425</v>
      </c>
      <c r="R246" t="n">
        <v>0.7495205</v>
      </c>
      <c r="S246" t="n">
        <v>0.7495205</v>
      </c>
      <c r="T246" t="n">
        <v>0.7253425</v>
      </c>
      <c r="U246" t="n">
        <v>0.7495205</v>
      </c>
      <c r="V246" t="n">
        <v>0.7253425</v>
      </c>
      <c r="W246" t="n">
        <v>0.7495205</v>
      </c>
      <c r="X246" t="n">
        <v>0.0270795</v>
      </c>
      <c r="Y246" t="n">
        <v>0.0270795</v>
      </c>
      <c r="Z246" t="n">
        <v>0.0270795</v>
      </c>
      <c r="AA246" t="n">
        <v>0.0270795</v>
      </c>
      <c r="AB246" t="n">
        <v>0.0270795</v>
      </c>
      <c r="AC246" t="n">
        <v>0.0270795</v>
      </c>
      <c r="AD246" t="n">
        <v>0.0270795</v>
      </c>
      <c r="AE246" t="n">
        <v>0.0270795</v>
      </c>
      <c r="AF246" t="n">
        <v>0.0270795</v>
      </c>
      <c r="AG246" t="n">
        <v>0.0270795</v>
      </c>
      <c r="AH246" t="n">
        <v>0.0270795</v>
      </c>
      <c r="AI246" t="n">
        <v>0.0270795</v>
      </c>
    </row>
    <row r="247">
      <c r="A247" t="n">
        <v>63</v>
      </c>
      <c r="B247" s="13" t="n">
        <v>46388</v>
      </c>
      <c r="C247" s="13" t="n">
        <v>2958465</v>
      </c>
      <c r="D247" s="13" t="n">
        <v>46388</v>
      </c>
      <c r="E247" t="n">
        <v>1</v>
      </c>
      <c r="G247" t="n">
        <v>7.31</v>
      </c>
      <c r="H247" t="n">
        <v>1.98271233</v>
      </c>
      <c r="I247" t="n">
        <v>2.00474247</v>
      </c>
      <c r="J247" t="n">
        <v>2.0267726</v>
      </c>
      <c r="K247" t="n">
        <v>2.0267726</v>
      </c>
      <c r="L247" t="n">
        <v>0.77606164</v>
      </c>
      <c r="M247" t="n">
        <v>0.7009589000000001</v>
      </c>
      <c r="N247" t="n">
        <v>0.77606164</v>
      </c>
      <c r="O247" t="n">
        <v>0.7510274</v>
      </c>
      <c r="P247" t="n">
        <v>0.77606164</v>
      </c>
      <c r="Q247" t="n">
        <v>0.7510274</v>
      </c>
      <c r="R247" t="n">
        <v>0.77606164</v>
      </c>
      <c r="S247" t="n">
        <v>0.77606164</v>
      </c>
      <c r="T247" t="n">
        <v>0.7510274</v>
      </c>
      <c r="U247" t="n">
        <v>0.77606164</v>
      </c>
      <c r="V247" t="n">
        <v>0.7510274</v>
      </c>
      <c r="W247" t="n">
        <v>0.77606164</v>
      </c>
      <c r="X247" t="n">
        <v>0.02803836</v>
      </c>
      <c r="Y247" t="n">
        <v>0.02803836</v>
      </c>
      <c r="Z247" t="n">
        <v>0.02803836</v>
      </c>
      <c r="AA247" t="n">
        <v>0.02803836</v>
      </c>
      <c r="AB247" t="n">
        <v>0.02803836</v>
      </c>
      <c r="AC247" t="n">
        <v>0.02803836</v>
      </c>
      <c r="AD247" t="n">
        <v>0.02803836</v>
      </c>
      <c r="AE247" t="n">
        <v>0.02803836</v>
      </c>
      <c r="AF247" t="n">
        <v>0.02803836</v>
      </c>
      <c r="AG247" t="n">
        <v>0.02803836</v>
      </c>
      <c r="AH247" t="n">
        <v>0.02803836</v>
      </c>
      <c r="AI247" t="n">
        <v>0.02803836</v>
      </c>
    </row>
    <row r="248">
      <c r="A248" t="n">
        <v>64</v>
      </c>
      <c r="B248" s="13" t="n">
        <v>44562</v>
      </c>
      <c r="C248" s="13" t="n">
        <v>44926</v>
      </c>
      <c r="D248" s="13" t="n">
        <v>44562</v>
      </c>
      <c r="E248" t="n">
        <v>0</v>
      </c>
      <c r="F248" s="13" t="n">
        <v>44926</v>
      </c>
      <c r="G248" t="n">
        <v>3.51</v>
      </c>
      <c r="H248" t="n">
        <v>0.952</v>
      </c>
      <c r="I248" t="n">
        <v>0.963</v>
      </c>
      <c r="J248" t="n">
        <v>0.973</v>
      </c>
      <c r="K248" t="n">
        <v>0.973</v>
      </c>
      <c r="L248" t="n">
        <v>0.373</v>
      </c>
      <c r="M248" t="n">
        <v>0.337</v>
      </c>
      <c r="N248" t="n">
        <v>0.373</v>
      </c>
      <c r="O248" t="n">
        <v>0.361</v>
      </c>
      <c r="P248" t="n">
        <v>0.373</v>
      </c>
      <c r="Q248" t="n">
        <v>0.361</v>
      </c>
      <c r="R248" t="n">
        <v>0.373</v>
      </c>
      <c r="S248" t="n">
        <v>0.373</v>
      </c>
      <c r="T248" t="n">
        <v>0.361</v>
      </c>
      <c r="U248" t="n">
        <v>0.373</v>
      </c>
      <c r="V248" t="n">
        <v>0.361</v>
      </c>
      <c r="W248" t="n">
        <v>0.373</v>
      </c>
      <c r="X248" t="n">
        <v>0.013</v>
      </c>
      <c r="Y248" t="n">
        <v>0.013</v>
      </c>
      <c r="Z248" t="n">
        <v>0.013</v>
      </c>
      <c r="AA248" t="n">
        <v>0.013</v>
      </c>
      <c r="AB248" t="n">
        <v>0.013</v>
      </c>
      <c r="AC248" t="n">
        <v>0.013</v>
      </c>
      <c r="AD248" t="n">
        <v>0.013</v>
      </c>
      <c r="AE248" t="n">
        <v>0.013</v>
      </c>
      <c r="AF248" t="n">
        <v>0.013</v>
      </c>
      <c r="AG248" t="n">
        <v>0.013</v>
      </c>
      <c r="AH248" t="n">
        <v>0.013</v>
      </c>
      <c r="AI248" t="n">
        <v>0.013</v>
      </c>
    </row>
    <row r="249">
      <c r="A249" t="n">
        <v>64</v>
      </c>
      <c r="B249" s="13" t="n">
        <v>44927</v>
      </c>
      <c r="C249" s="13" t="n">
        <v>45291</v>
      </c>
      <c r="D249" s="13" t="n">
        <v>44927</v>
      </c>
      <c r="E249" t="n">
        <v>0</v>
      </c>
      <c r="F249" s="13" t="n">
        <v>45291</v>
      </c>
      <c r="G249" t="n">
        <v>6.03</v>
      </c>
      <c r="H249" t="n">
        <v>1.636</v>
      </c>
      <c r="I249" t="n">
        <v>1.654</v>
      </c>
      <c r="J249" t="n">
        <v>1.672</v>
      </c>
      <c r="K249" t="n">
        <v>1.672</v>
      </c>
      <c r="L249" t="n">
        <v>0.64</v>
      </c>
      <c r="M249" t="n">
        <v>0.578</v>
      </c>
      <c r="N249" t="n">
        <v>0.64</v>
      </c>
      <c r="O249" t="n">
        <v>0.62</v>
      </c>
      <c r="P249" t="n">
        <v>0.64</v>
      </c>
      <c r="Q249" t="n">
        <v>0.62</v>
      </c>
      <c r="R249" t="n">
        <v>0.64</v>
      </c>
      <c r="S249" t="n">
        <v>0.64</v>
      </c>
      <c r="T249" t="n">
        <v>0.62</v>
      </c>
      <c r="U249" t="n">
        <v>0.64</v>
      </c>
      <c r="V249" t="n">
        <v>0.62</v>
      </c>
      <c r="W249" t="n">
        <v>0.64</v>
      </c>
      <c r="X249" t="n">
        <v>0.023</v>
      </c>
      <c r="Y249" t="n">
        <v>0.023</v>
      </c>
      <c r="Z249" t="n">
        <v>0.023</v>
      </c>
      <c r="AA249" t="n">
        <v>0.023</v>
      </c>
      <c r="AB249" t="n">
        <v>0.023</v>
      </c>
      <c r="AC249" t="n">
        <v>0.023</v>
      </c>
      <c r="AD249" t="n">
        <v>0.023</v>
      </c>
      <c r="AE249" t="n">
        <v>0.023</v>
      </c>
      <c r="AF249" t="n">
        <v>0.023</v>
      </c>
      <c r="AG249" t="n">
        <v>0.023</v>
      </c>
      <c r="AH249" t="n">
        <v>0.023</v>
      </c>
      <c r="AI249" t="n">
        <v>0.023</v>
      </c>
    </row>
    <row r="250">
      <c r="A250" t="n">
        <v>64</v>
      </c>
      <c r="B250" s="13" t="n">
        <v>45292</v>
      </c>
      <c r="C250" s="13" t="n">
        <v>45657</v>
      </c>
      <c r="D250" s="13" t="n">
        <v>45292</v>
      </c>
      <c r="E250" t="n">
        <v>0</v>
      </c>
      <c r="F250" s="13" t="n">
        <v>45657</v>
      </c>
      <c r="G250" t="n">
        <v>5.1</v>
      </c>
      <c r="H250" t="n">
        <v>1.398658</v>
      </c>
      <c r="I250" t="n">
        <v>1.398658</v>
      </c>
      <c r="J250" t="n">
        <v>1.414027</v>
      </c>
      <c r="K250" t="n">
        <v>1.414</v>
      </c>
      <c r="L250" t="n">
        <v>0.541438</v>
      </c>
      <c r="M250" t="n">
        <v>0.506507</v>
      </c>
      <c r="N250" t="n">
        <v>0.541438</v>
      </c>
      <c r="O250" t="n">
        <v>0.523973</v>
      </c>
      <c r="P250" t="n">
        <v>0.541438</v>
      </c>
      <c r="Q250" t="n">
        <v>0.523973</v>
      </c>
      <c r="R250" t="n">
        <v>0.541438</v>
      </c>
      <c r="S250" t="n">
        <v>0.541438</v>
      </c>
      <c r="T250" t="n">
        <v>0.523973</v>
      </c>
      <c r="U250" t="n">
        <v>0.541438</v>
      </c>
      <c r="V250" t="n">
        <v>0.523973</v>
      </c>
      <c r="W250" t="n">
        <v>0.541438</v>
      </c>
      <c r="X250" t="n">
        <v>0.019562</v>
      </c>
      <c r="Y250" t="n">
        <v>0.019562</v>
      </c>
      <c r="Z250" t="n">
        <v>0.019562</v>
      </c>
      <c r="AA250" t="n">
        <v>0.019562</v>
      </c>
      <c r="AB250" t="n">
        <v>0.019562</v>
      </c>
      <c r="AC250" t="n">
        <v>0.019562</v>
      </c>
      <c r="AD250" t="n">
        <v>0.019562</v>
      </c>
      <c r="AE250" t="n">
        <v>0.019562</v>
      </c>
      <c r="AF250" t="n">
        <v>0.019562</v>
      </c>
      <c r="AG250" t="n">
        <v>0.019562</v>
      </c>
      <c r="AH250" t="n">
        <v>0.019562</v>
      </c>
      <c r="AI250" t="n">
        <v>0.019562</v>
      </c>
    </row>
    <row r="251">
      <c r="A251" t="n">
        <v>64</v>
      </c>
      <c r="B251" s="13" t="n">
        <v>45658</v>
      </c>
      <c r="C251" s="13" t="n">
        <v>46022</v>
      </c>
      <c r="D251" s="13" t="n">
        <v>45658</v>
      </c>
      <c r="E251" t="n">
        <v>0</v>
      </c>
      <c r="F251" s="13" t="n">
        <v>46022</v>
      </c>
      <c r="G251" t="n">
        <v>6.71</v>
      </c>
      <c r="H251" t="n">
        <v>1.819</v>
      </c>
      <c r="I251" t="n">
        <v>1.84</v>
      </c>
      <c r="J251" t="n">
        <v>1.86</v>
      </c>
      <c r="K251" t="n">
        <v>1.86</v>
      </c>
      <c r="L251" t="n">
        <v>0.712</v>
      </c>
      <c r="M251" t="n">
        <v>0.643</v>
      </c>
      <c r="N251" t="n">
        <v>0.712</v>
      </c>
      <c r="O251" t="n">
        <v>0.6889999999999999</v>
      </c>
      <c r="P251" t="n">
        <v>0.712</v>
      </c>
      <c r="Q251" t="n">
        <v>0.6889999999999999</v>
      </c>
      <c r="R251" t="n">
        <v>0.712</v>
      </c>
      <c r="S251" t="n">
        <v>0.712</v>
      </c>
      <c r="T251" t="n">
        <v>0.6889999999999999</v>
      </c>
      <c r="U251" t="n">
        <v>0.712</v>
      </c>
      <c r="V251" t="n">
        <v>0.6889999999999999</v>
      </c>
      <c r="W251" t="n">
        <v>0.712</v>
      </c>
      <c r="X251" t="n">
        <v>0.026</v>
      </c>
      <c r="Y251" t="n">
        <v>0.026</v>
      </c>
      <c r="Z251" t="n">
        <v>0.026</v>
      </c>
      <c r="AA251" t="n">
        <v>0.026</v>
      </c>
      <c r="AB251" t="n">
        <v>0.026</v>
      </c>
      <c r="AC251" t="n">
        <v>0.026</v>
      </c>
      <c r="AD251" t="n">
        <v>0.026</v>
      </c>
      <c r="AE251" t="n">
        <v>0.026</v>
      </c>
      <c r="AF251" t="n">
        <v>0.026</v>
      </c>
      <c r="AG251" t="n">
        <v>0.026</v>
      </c>
      <c r="AH251" t="n">
        <v>0.026</v>
      </c>
      <c r="AI251" t="n">
        <v>0.026</v>
      </c>
    </row>
    <row r="252">
      <c r="A252" t="n">
        <v>64</v>
      </c>
      <c r="B252" s="13" t="n">
        <v>46023</v>
      </c>
      <c r="C252" s="13" t="n">
        <v>46387</v>
      </c>
      <c r="D252" s="13" t="n">
        <v>46023</v>
      </c>
      <c r="E252" t="n">
        <v>0</v>
      </c>
      <c r="F252" s="13" t="n">
        <v>46387</v>
      </c>
      <c r="G252" t="n">
        <v>7.06</v>
      </c>
      <c r="H252" t="n">
        <v>1.9149041</v>
      </c>
      <c r="I252" t="n">
        <v>1.9361808</v>
      </c>
      <c r="J252" t="n">
        <v>1.9574575</v>
      </c>
      <c r="K252" t="n">
        <v>1.9574575</v>
      </c>
      <c r="L252" t="n">
        <v>0.7495205</v>
      </c>
      <c r="M252" t="n">
        <v>0.6769863</v>
      </c>
      <c r="N252" t="n">
        <v>0.7495205</v>
      </c>
      <c r="O252" t="n">
        <v>0.7253425</v>
      </c>
      <c r="P252" t="n">
        <v>0.7495205</v>
      </c>
      <c r="Q252" t="n">
        <v>0.7253425</v>
      </c>
      <c r="R252" t="n">
        <v>0.7495205</v>
      </c>
      <c r="S252" t="n">
        <v>0.7495205</v>
      </c>
      <c r="T252" t="n">
        <v>0.7253425</v>
      </c>
      <c r="U252" t="n">
        <v>0.7495205</v>
      </c>
      <c r="V252" t="n">
        <v>0.7253425</v>
      </c>
      <c r="W252" t="n">
        <v>0.7495205</v>
      </c>
      <c r="X252" t="n">
        <v>0.0270795</v>
      </c>
      <c r="Y252" t="n">
        <v>0.0270795</v>
      </c>
      <c r="Z252" t="n">
        <v>0.0270795</v>
      </c>
      <c r="AA252" t="n">
        <v>0.0270795</v>
      </c>
      <c r="AB252" t="n">
        <v>0.0270795</v>
      </c>
      <c r="AC252" t="n">
        <v>0.0270795</v>
      </c>
      <c r="AD252" t="n">
        <v>0.0270795</v>
      </c>
      <c r="AE252" t="n">
        <v>0.0270795</v>
      </c>
      <c r="AF252" t="n">
        <v>0.0270795</v>
      </c>
      <c r="AG252" t="n">
        <v>0.0270795</v>
      </c>
      <c r="AH252" t="n">
        <v>0.0270795</v>
      </c>
      <c r="AI252" t="n">
        <v>0.0270795</v>
      </c>
    </row>
    <row r="253">
      <c r="A253" t="n">
        <v>64</v>
      </c>
      <c r="B253" s="13" t="n">
        <v>46388</v>
      </c>
      <c r="C253" s="13" t="n">
        <v>2958465</v>
      </c>
      <c r="D253" s="13" t="n">
        <v>46388</v>
      </c>
      <c r="E253" t="n">
        <v>1</v>
      </c>
      <c r="G253" t="n">
        <v>7.31</v>
      </c>
      <c r="H253" t="n">
        <v>1.98271233</v>
      </c>
      <c r="I253" t="n">
        <v>2.00474247</v>
      </c>
      <c r="J253" t="n">
        <v>2.0267726</v>
      </c>
      <c r="K253" t="n">
        <v>2.0267726</v>
      </c>
      <c r="L253" t="n">
        <v>0.77606164</v>
      </c>
      <c r="M253" t="n">
        <v>0.7009589000000001</v>
      </c>
      <c r="N253" t="n">
        <v>0.77606164</v>
      </c>
      <c r="O253" t="n">
        <v>0.7510274</v>
      </c>
      <c r="P253" t="n">
        <v>0.77606164</v>
      </c>
      <c r="Q253" t="n">
        <v>0.7510274</v>
      </c>
      <c r="R253" t="n">
        <v>0.77606164</v>
      </c>
      <c r="S253" t="n">
        <v>0.77606164</v>
      </c>
      <c r="T253" t="n">
        <v>0.7510274</v>
      </c>
      <c r="U253" t="n">
        <v>0.77606164</v>
      </c>
      <c r="V253" t="n">
        <v>0.7510274</v>
      </c>
      <c r="W253" t="n">
        <v>0.77606164</v>
      </c>
      <c r="X253" t="n">
        <v>0.02803836</v>
      </c>
      <c r="Y253" t="n">
        <v>0.02803836</v>
      </c>
      <c r="Z253" t="n">
        <v>0.02803836</v>
      </c>
      <c r="AA253" t="n">
        <v>0.02803836</v>
      </c>
      <c r="AB253" t="n">
        <v>0.02803836</v>
      </c>
      <c r="AC253" t="n">
        <v>0.02803836</v>
      </c>
      <c r="AD253" t="n">
        <v>0.02803836</v>
      </c>
      <c r="AE253" t="n">
        <v>0.02803836</v>
      </c>
      <c r="AF253" t="n">
        <v>0.02803836</v>
      </c>
      <c r="AG253" t="n">
        <v>0.02803836</v>
      </c>
      <c r="AH253" t="n">
        <v>0.02803836</v>
      </c>
      <c r="AI253" t="n">
        <v>0.02803836</v>
      </c>
    </row>
    <row r="254">
      <c r="A254" t="n">
        <v>65</v>
      </c>
      <c r="B254" s="13" t="n">
        <v>44927</v>
      </c>
      <c r="C254" s="13" t="n">
        <v>45291</v>
      </c>
      <c r="D254" s="13" t="n">
        <v>44927</v>
      </c>
      <c r="E254" t="n">
        <v>0</v>
      </c>
      <c r="F254" s="13" t="n">
        <v>45291</v>
      </c>
      <c r="G254" t="n">
        <v>2.699</v>
      </c>
      <c r="H254" t="n">
        <v>1.292</v>
      </c>
      <c r="I254" t="n">
        <v>0.599</v>
      </c>
      <c r="J254" t="n">
        <v>0.469</v>
      </c>
      <c r="K254" t="n">
        <v>1.006</v>
      </c>
      <c r="L254" t="n">
        <v>0.614</v>
      </c>
      <c r="M254" t="n">
        <v>0.518</v>
      </c>
      <c r="N254" t="n">
        <v>0.415</v>
      </c>
      <c r="O254" t="n">
        <v>0.286</v>
      </c>
      <c r="P254" t="n">
        <v>0.232</v>
      </c>
      <c r="Q254" t="n">
        <v>0.2</v>
      </c>
      <c r="R254" t="n">
        <v>0.191</v>
      </c>
      <c r="S254" t="n">
        <v>0.182</v>
      </c>
      <c r="T254" t="n">
        <v>0.191</v>
      </c>
      <c r="U254" t="n">
        <v>0.256</v>
      </c>
      <c r="V254" t="n">
        <v>0.402</v>
      </c>
      <c r="W254" t="n">
        <v>0.548</v>
      </c>
      <c r="X254" t="n">
        <v>0.024</v>
      </c>
      <c r="Y254" t="n">
        <v>0.023</v>
      </c>
      <c r="Z254" t="n">
        <v>0.016</v>
      </c>
      <c r="AA254" t="n">
        <v>0.012</v>
      </c>
      <c r="AB254" t="n">
        <v>0.008999999999999999</v>
      </c>
      <c r="AC254" t="n">
        <v>0.008</v>
      </c>
      <c r="AD254" t="n">
        <v>0.008</v>
      </c>
      <c r="AE254" t="n">
        <v>0.007</v>
      </c>
      <c r="AF254" t="n">
        <v>0.008</v>
      </c>
      <c r="AG254" t="n">
        <v>0.01</v>
      </c>
      <c r="AH254" t="n">
        <v>0.016</v>
      </c>
      <c r="AI254" t="n">
        <v>0.022</v>
      </c>
    </row>
    <row r="255">
      <c r="A255" t="n">
        <v>65</v>
      </c>
      <c r="B255" s="13" t="n">
        <v>45292</v>
      </c>
      <c r="C255" s="13" t="n">
        <v>45657</v>
      </c>
      <c r="D255" s="13" t="n">
        <v>45292</v>
      </c>
      <c r="E255" t="n">
        <v>0</v>
      </c>
      <c r="F255" s="13" t="n">
        <v>45657</v>
      </c>
      <c r="G255" t="n">
        <v>2.254055</v>
      </c>
      <c r="H255" t="n">
        <v>1.087943</v>
      </c>
      <c r="I255" t="n">
        <v>0.498787</v>
      </c>
      <c r="J255" t="n">
        <v>0.390949</v>
      </c>
      <c r="K255" t="n">
        <v>0.837849</v>
      </c>
      <c r="L255" t="n">
        <v>0.511181</v>
      </c>
      <c r="M255" t="n">
        <v>0.446589</v>
      </c>
      <c r="N255" t="n">
        <v>0.345656</v>
      </c>
      <c r="O255" t="n">
        <v>0.238061</v>
      </c>
      <c r="P255" t="n">
        <v>0.19359</v>
      </c>
      <c r="Q255" t="n">
        <v>0.166283</v>
      </c>
      <c r="R255" t="n">
        <v>0.158939</v>
      </c>
      <c r="S255" t="n">
        <v>0.151206</v>
      </c>
      <c r="T255" t="n">
        <v>0.159077</v>
      </c>
      <c r="U255" t="n">
        <v>0.21335</v>
      </c>
      <c r="V255" t="n">
        <v>0.334505</v>
      </c>
      <c r="W255" t="n">
        <v>0.456769</v>
      </c>
      <c r="X255" t="n">
        <v>0.02023</v>
      </c>
      <c r="Y255" t="n">
        <v>0.018893</v>
      </c>
      <c r="Z255" t="n">
        <v>0.013677</v>
      </c>
      <c r="AA255" t="n">
        <v>0.009731999999999999</v>
      </c>
      <c r="AB255" t="n">
        <v>0.007662</v>
      </c>
      <c r="AC255" t="n">
        <v>0.006801</v>
      </c>
      <c r="AD255" t="n">
        <v>0.006283</v>
      </c>
      <c r="AE255" t="n">
        <v>0.005982</v>
      </c>
      <c r="AF255" t="n">
        <v>0.00651</v>
      </c>
      <c r="AG255" t="n">
        <v>0.008449999999999999</v>
      </c>
      <c r="AH255" t="n">
        <v>0.013677</v>
      </c>
      <c r="AI255" t="n">
        <v>0.018074</v>
      </c>
    </row>
    <row r="256">
      <c r="A256" t="n">
        <v>65</v>
      </c>
      <c r="B256" s="13" t="n">
        <v>45658</v>
      </c>
      <c r="C256" s="13" t="n">
        <v>46022</v>
      </c>
      <c r="D256" s="13" t="n">
        <v>45658</v>
      </c>
      <c r="E256" t="n">
        <v>0</v>
      </c>
      <c r="F256" s="13" t="n">
        <v>46022</v>
      </c>
      <c r="G256" t="n">
        <v>3.75101857</v>
      </c>
      <c r="H256" t="n">
        <v>1.71339334</v>
      </c>
      <c r="I256" t="n">
        <v>0.91648175</v>
      </c>
      <c r="J256" t="n">
        <v>0.74336967</v>
      </c>
      <c r="K256" t="n">
        <v>1.30591968</v>
      </c>
      <c r="L256" t="n">
        <v>0.81954617</v>
      </c>
      <c r="M256" t="n">
        <v>0.6616796700000001</v>
      </c>
      <c r="N256" t="n">
        <v>0.57296552</v>
      </c>
      <c r="O256" t="n">
        <v>0.41343419</v>
      </c>
      <c r="P256" t="n">
        <v>0.37847264</v>
      </c>
      <c r="Q256" t="n">
        <v>0.30753214</v>
      </c>
      <c r="R256" t="n">
        <v>0.30010204</v>
      </c>
      <c r="S256" t="n">
        <v>0.28528808</v>
      </c>
      <c r="T256" t="n">
        <v>0.30660723</v>
      </c>
      <c r="U256" t="n">
        <v>0.36365869</v>
      </c>
      <c r="V256" t="n">
        <v>0.52257341</v>
      </c>
      <c r="W256" t="n">
        <v>0.68048615</v>
      </c>
      <c r="X256" t="n">
        <v>0.03188623</v>
      </c>
      <c r="Y256" t="n">
        <v>0.02850517</v>
      </c>
      <c r="Z256" t="n">
        <v>0.02228259</v>
      </c>
      <c r="AA256" t="n">
        <v>0.01661752</v>
      </c>
      <c r="AB256" t="n">
        <v>0.01472917</v>
      </c>
      <c r="AC256" t="n">
        <v>0.01237322</v>
      </c>
      <c r="AD256" t="n">
        <v>0.01167183</v>
      </c>
      <c r="AE256" t="n">
        <v>0.01111432</v>
      </c>
      <c r="AF256" t="n">
        <v>0.01233725</v>
      </c>
      <c r="AG256" t="n">
        <v>0.01415367</v>
      </c>
      <c r="AH256" t="n">
        <v>0.0210057</v>
      </c>
      <c r="AI256" t="n">
        <v>0.02647295</v>
      </c>
    </row>
    <row r="257">
      <c r="A257" t="n">
        <v>65</v>
      </c>
      <c r="B257" s="13" t="n">
        <v>46023</v>
      </c>
      <c r="C257" s="13" t="n">
        <v>46387</v>
      </c>
      <c r="D257" s="13" t="n">
        <v>46023</v>
      </c>
      <c r="E257" t="n">
        <v>0</v>
      </c>
      <c r="F257" s="13" t="n">
        <v>46387</v>
      </c>
      <c r="G257" t="n">
        <v>5.76157135</v>
      </c>
      <c r="H257" t="n">
        <v>2.6317753</v>
      </c>
      <c r="I257" t="n">
        <v>1.40771762</v>
      </c>
      <c r="J257" t="n">
        <v>1.14181716</v>
      </c>
      <c r="K257" t="n">
        <v>2.00589501</v>
      </c>
      <c r="L257" t="n">
        <v>1.25882442</v>
      </c>
      <c r="M257" t="n">
        <v>1.01634119</v>
      </c>
      <c r="N257" t="n">
        <v>0.88007607</v>
      </c>
      <c r="O257" t="n">
        <v>0.63503566</v>
      </c>
      <c r="P257" t="n">
        <v>0.58133465</v>
      </c>
      <c r="Q257" t="n">
        <v>0.47236992</v>
      </c>
      <c r="R257" t="n">
        <v>0.46095728</v>
      </c>
      <c r="S257" t="n">
        <v>0.43820302</v>
      </c>
      <c r="T257" t="n">
        <v>0.47094927</v>
      </c>
      <c r="U257" t="n">
        <v>0.5585804</v>
      </c>
      <c r="V257" t="n">
        <v>0.8026737</v>
      </c>
      <c r="W257" t="n">
        <v>1.04522797</v>
      </c>
      <c r="X257" t="n">
        <v>0.04897731</v>
      </c>
      <c r="Y257" t="n">
        <v>0.043784</v>
      </c>
      <c r="Z257" t="n">
        <v>0.0342261</v>
      </c>
      <c r="AA257" t="n">
        <v>0.02552455</v>
      </c>
      <c r="AB257" t="n">
        <v>0.02262403</v>
      </c>
      <c r="AC257" t="n">
        <v>0.0190053</v>
      </c>
      <c r="AD257" t="n">
        <v>0.01792795</v>
      </c>
      <c r="AE257" t="n">
        <v>0.01707161</v>
      </c>
      <c r="AF257" t="n">
        <v>0.01895004</v>
      </c>
      <c r="AG257" t="n">
        <v>0.02174006</v>
      </c>
      <c r="AH257" t="n">
        <v>0.0322648</v>
      </c>
      <c r="AI257" t="n">
        <v>0.04066249</v>
      </c>
    </row>
    <row r="258">
      <c r="A258" t="n">
        <v>65</v>
      </c>
      <c r="B258" s="13" t="n">
        <v>46388</v>
      </c>
      <c r="C258" s="13" t="n">
        <v>2958465</v>
      </c>
      <c r="D258" s="13" t="n">
        <v>46388</v>
      </c>
      <c r="E258" t="n">
        <v>1</v>
      </c>
      <c r="G258" t="n">
        <v>5.47253664</v>
      </c>
      <c r="H258" t="n">
        <v>2.50359119</v>
      </c>
      <c r="I258" t="n">
        <v>1.33709813</v>
      </c>
      <c r="J258" t="n">
        <v>1.08453681</v>
      </c>
      <c r="K258" t="n">
        <v>1.90526738</v>
      </c>
      <c r="L258" t="n">
        <v>1.19567429</v>
      </c>
      <c r="M258" t="n">
        <v>0.9653554600000001</v>
      </c>
      <c r="N258" t="n">
        <v>0.83592623</v>
      </c>
      <c r="O258" t="n">
        <v>0.6031785</v>
      </c>
      <c r="P258" t="n">
        <v>0.55217145</v>
      </c>
      <c r="Q258" t="n">
        <v>0.44867304</v>
      </c>
      <c r="R258" t="n">
        <v>0.43783291</v>
      </c>
      <c r="S258" t="n">
        <v>0.41622015</v>
      </c>
      <c r="T258" t="n">
        <v>0.44732365</v>
      </c>
      <c r="U258" t="n">
        <v>0.5305586799999999</v>
      </c>
      <c r="V258" t="n">
        <v>0.76240682</v>
      </c>
      <c r="W258" t="n">
        <v>0.99279312</v>
      </c>
      <c r="X258" t="n">
        <v>0.04652031</v>
      </c>
      <c r="Y258" t="n">
        <v>0.04158753</v>
      </c>
      <c r="Z258" t="n">
        <v>0.03250911</v>
      </c>
      <c r="AA258" t="n">
        <v>0.02424408</v>
      </c>
      <c r="AB258" t="n">
        <v>0.02148908</v>
      </c>
      <c r="AC258" t="n">
        <v>0.01805187</v>
      </c>
      <c r="AD258" t="n">
        <v>0.01702858</v>
      </c>
      <c r="AE258" t="n">
        <v>0.0162152</v>
      </c>
      <c r="AF258" t="n">
        <v>0.0179994</v>
      </c>
      <c r="AG258" t="n">
        <v>0.02064946</v>
      </c>
      <c r="AH258" t="n">
        <v>0.03064621</v>
      </c>
      <c r="AI258" t="n">
        <v>0.03862262</v>
      </c>
    </row>
    <row r="259">
      <c r="A259" t="n">
        <v>66</v>
      </c>
      <c r="B259" s="13" t="n">
        <v>44927</v>
      </c>
      <c r="C259" s="13" t="n">
        <v>45291</v>
      </c>
      <c r="D259" s="13" t="n">
        <v>44927</v>
      </c>
      <c r="E259" t="n">
        <v>0</v>
      </c>
      <c r="F259" s="13" t="n">
        <v>45291</v>
      </c>
      <c r="G259" t="n">
        <v>2.736</v>
      </c>
      <c r="H259" t="n">
        <v>1.31</v>
      </c>
      <c r="I259" t="n">
        <v>0.607</v>
      </c>
      <c r="J259" t="n">
        <v>0.476</v>
      </c>
      <c r="K259" t="n">
        <v>1.02</v>
      </c>
      <c r="L259" t="n">
        <v>0.622</v>
      </c>
      <c r="M259" t="n">
        <v>0.525</v>
      </c>
      <c r="N259" t="n">
        <v>0.421</v>
      </c>
      <c r="O259" t="n">
        <v>0.29</v>
      </c>
      <c r="P259" t="n">
        <v>0.236</v>
      </c>
      <c r="Q259" t="n">
        <v>0.202</v>
      </c>
      <c r="R259" t="n">
        <v>0.193</v>
      </c>
      <c r="S259" t="n">
        <v>0.184</v>
      </c>
      <c r="T259" t="n">
        <v>0.194</v>
      </c>
      <c r="U259" t="n">
        <v>0.26</v>
      </c>
      <c r="V259" t="n">
        <v>0.407</v>
      </c>
      <c r="W259" t="n">
        <v>0.556</v>
      </c>
      <c r="X259" t="n">
        <v>0.025</v>
      </c>
      <c r="Y259" t="n">
        <v>0.023</v>
      </c>
      <c r="Z259" t="n">
        <v>0.017</v>
      </c>
      <c r="AA259" t="n">
        <v>0.012</v>
      </c>
      <c r="AB259" t="n">
        <v>0.008999999999999999</v>
      </c>
      <c r="AC259" t="n">
        <v>0.008</v>
      </c>
      <c r="AD259" t="n">
        <v>0.008</v>
      </c>
      <c r="AE259" t="n">
        <v>0.007</v>
      </c>
      <c r="AF259" t="n">
        <v>0.008</v>
      </c>
      <c r="AG259" t="n">
        <v>0.01</v>
      </c>
      <c r="AH259" t="n">
        <v>0.017</v>
      </c>
      <c r="AI259" t="n">
        <v>0.022</v>
      </c>
    </row>
    <row r="260">
      <c r="A260" t="n">
        <v>66</v>
      </c>
      <c r="B260" s="13" t="n">
        <v>45292</v>
      </c>
      <c r="C260" s="13" t="n">
        <v>45657</v>
      </c>
      <c r="D260" s="13" t="n">
        <v>45292</v>
      </c>
      <c r="E260" t="n">
        <v>0</v>
      </c>
      <c r="F260" s="13" t="n">
        <v>45657</v>
      </c>
      <c r="G260" t="n">
        <v>2.203106</v>
      </c>
      <c r="H260" t="n">
        <v>1.063352</v>
      </c>
      <c r="I260" t="n">
        <v>0.487512</v>
      </c>
      <c r="J260" t="n">
        <v>0.382113</v>
      </c>
      <c r="K260" t="n">
        <v>0.8189109999999999</v>
      </c>
      <c r="L260" t="n">
        <v>0.499627</v>
      </c>
      <c r="M260" t="n">
        <v>0.436495</v>
      </c>
      <c r="N260" t="n">
        <v>0.337843</v>
      </c>
      <c r="O260" t="n">
        <v>0.232681</v>
      </c>
      <c r="P260" t="n">
        <v>0.189214</v>
      </c>
      <c r="Q260" t="n">
        <v>0.162524</v>
      </c>
      <c r="R260" t="n">
        <v>0.155346</v>
      </c>
      <c r="S260" t="n">
        <v>0.147789</v>
      </c>
      <c r="T260" t="n">
        <v>0.155482</v>
      </c>
      <c r="U260" t="n">
        <v>0.208528</v>
      </c>
      <c r="V260" t="n">
        <v>0.326945</v>
      </c>
      <c r="W260" t="n">
        <v>0.446445</v>
      </c>
      <c r="X260" t="n">
        <v>0.019772</v>
      </c>
      <c r="Y260" t="n">
        <v>0.018466</v>
      </c>
      <c r="Z260" t="n">
        <v>0.013368</v>
      </c>
      <c r="AA260" t="n">
        <v>0.009512</v>
      </c>
      <c r="AB260" t="n">
        <v>0.00749</v>
      </c>
      <c r="AC260" t="n">
        <v>0.006647</v>
      </c>
      <c r="AD260" t="n">
        <v>0.006141</v>
      </c>
      <c r="AE260" t="n">
        <v>0.005846</v>
      </c>
      <c r="AF260" t="n">
        <v>0.006363</v>
      </c>
      <c r="AG260" t="n">
        <v>0.008259000000000001</v>
      </c>
      <c r="AH260" t="n">
        <v>0.013368</v>
      </c>
      <c r="AI260" t="n">
        <v>0.017665</v>
      </c>
    </row>
    <row r="261">
      <c r="A261" t="n">
        <v>66</v>
      </c>
      <c r="B261" s="13" t="n">
        <v>45658</v>
      </c>
      <c r="C261" s="13" t="n">
        <v>46022</v>
      </c>
      <c r="D261" s="13" t="n">
        <v>45658</v>
      </c>
      <c r="E261" t="n">
        <v>0</v>
      </c>
      <c r="F261" s="13" t="n">
        <v>46022</v>
      </c>
      <c r="G261" t="n">
        <v>3.27950599</v>
      </c>
      <c r="H261" t="n">
        <v>1.49801544</v>
      </c>
      <c r="I261" t="n">
        <v>0.80127766</v>
      </c>
      <c r="J261" t="n">
        <v>0.6499262</v>
      </c>
      <c r="K261" t="n">
        <v>1.14176226</v>
      </c>
      <c r="L261" t="n">
        <v>0.71652714</v>
      </c>
      <c r="M261" t="n">
        <v>0.57850485</v>
      </c>
      <c r="N261" t="n">
        <v>0.50094229</v>
      </c>
      <c r="O261" t="n">
        <v>0.36146445</v>
      </c>
      <c r="P261" t="n">
        <v>0.33089766</v>
      </c>
      <c r="Q261" t="n">
        <v>0.26887457</v>
      </c>
      <c r="R261" t="n">
        <v>0.26237845</v>
      </c>
      <c r="S261" t="n">
        <v>0.24942665</v>
      </c>
      <c r="T261" t="n">
        <v>0.26806592</v>
      </c>
      <c r="U261" t="n">
        <v>0.31794586</v>
      </c>
      <c r="V261" t="n">
        <v>0.4568846</v>
      </c>
      <c r="W261" t="n">
        <v>0.59494731</v>
      </c>
      <c r="X261" t="n">
        <v>0.02787804</v>
      </c>
      <c r="Y261" t="n">
        <v>0.024922</v>
      </c>
      <c r="Z261" t="n">
        <v>0.01948161</v>
      </c>
      <c r="AA261" t="n">
        <v>0.01452866</v>
      </c>
      <c r="AB261" t="n">
        <v>0.01287768</v>
      </c>
      <c r="AC261" t="n">
        <v>0.01081788</v>
      </c>
      <c r="AD261" t="n">
        <v>0.01020466</v>
      </c>
      <c r="AE261" t="n">
        <v>0.00971723</v>
      </c>
      <c r="AF261" t="n">
        <v>0.01078643</v>
      </c>
      <c r="AG261" t="n">
        <v>0.01237452</v>
      </c>
      <c r="AH261" t="n">
        <v>0.01836523</v>
      </c>
      <c r="AI261" t="n">
        <v>0.02314522</v>
      </c>
    </row>
    <row r="262">
      <c r="A262" t="n">
        <v>66</v>
      </c>
      <c r="B262" s="13" t="n">
        <v>46023</v>
      </c>
      <c r="C262" s="13" t="n">
        <v>46387</v>
      </c>
      <c r="D262" s="13" t="n">
        <v>46023</v>
      </c>
      <c r="E262" t="n">
        <v>0</v>
      </c>
      <c r="F262" s="13" t="n">
        <v>46387</v>
      </c>
      <c r="G262" t="n">
        <v>4.94149823</v>
      </c>
      <c r="H262" t="n">
        <v>2.25718162</v>
      </c>
      <c r="I262" t="n">
        <v>1.20735017</v>
      </c>
      <c r="J262" t="n">
        <v>0.9792966400000001</v>
      </c>
      <c r="K262" t="n">
        <v>1.72038599</v>
      </c>
      <c r="L262" t="n">
        <v>1.07964967</v>
      </c>
      <c r="M262" t="n">
        <v>0.87168029</v>
      </c>
      <c r="N262" t="n">
        <v>0.75481047</v>
      </c>
      <c r="O262" t="n">
        <v>0.54464787</v>
      </c>
      <c r="P262" t="n">
        <v>0.4985904</v>
      </c>
      <c r="Q262" t="n">
        <v>0.40513516</v>
      </c>
      <c r="R262" t="n">
        <v>0.39534693</v>
      </c>
      <c r="S262" t="n">
        <v>0.3758314</v>
      </c>
      <c r="T262" t="n">
        <v>0.40391671</v>
      </c>
      <c r="U262" t="n">
        <v>0.47907487</v>
      </c>
      <c r="V262" t="n">
        <v>0.68842517</v>
      </c>
      <c r="W262" t="n">
        <v>0.89645547</v>
      </c>
      <c r="X262" t="n">
        <v>0.04200612</v>
      </c>
      <c r="Y262" t="n">
        <v>0.037552</v>
      </c>
      <c r="Z262" t="n">
        <v>0.02935453</v>
      </c>
      <c r="AA262" t="n">
        <v>0.02189152</v>
      </c>
      <c r="AB262" t="n">
        <v>0.01940385</v>
      </c>
      <c r="AC262" t="n">
        <v>0.01630017</v>
      </c>
      <c r="AD262" t="n">
        <v>0.01537618</v>
      </c>
      <c r="AE262" t="n">
        <v>0.01464172</v>
      </c>
      <c r="AF262" t="n">
        <v>0.0162528</v>
      </c>
      <c r="AG262" t="n">
        <v>0.0186457</v>
      </c>
      <c r="AH262" t="n">
        <v>0.02767239</v>
      </c>
      <c r="AI262" t="n">
        <v>0.03487479</v>
      </c>
    </row>
    <row r="263">
      <c r="A263" t="n">
        <v>66</v>
      </c>
      <c r="B263" s="13" t="n">
        <v>46388</v>
      </c>
      <c r="C263" s="13" t="n">
        <v>2958465</v>
      </c>
      <c r="D263" s="13" t="n">
        <v>46388</v>
      </c>
      <c r="E263" t="n">
        <v>1</v>
      </c>
      <c r="G263" t="n">
        <v>5.09303642</v>
      </c>
      <c r="H263" t="n">
        <v>2.32640137</v>
      </c>
      <c r="I263" t="n">
        <v>1.24437531</v>
      </c>
      <c r="J263" t="n">
        <v>1.00932819</v>
      </c>
      <c r="K263" t="n">
        <v>1.77314412</v>
      </c>
      <c r="L263" t="n">
        <v>1.11275869</v>
      </c>
      <c r="M263" t="n">
        <v>0.89841163</v>
      </c>
      <c r="N263" t="n">
        <v>0.77795783</v>
      </c>
      <c r="O263" t="n">
        <v>0.56135029</v>
      </c>
      <c r="P263" t="n">
        <v>0.5138804</v>
      </c>
      <c r="Q263" t="n">
        <v>0.41755922</v>
      </c>
      <c r="R263" t="n">
        <v>0.40747082</v>
      </c>
      <c r="S263" t="n">
        <v>0.38735681</v>
      </c>
      <c r="T263" t="n">
        <v>0.4163034</v>
      </c>
      <c r="U263" t="n">
        <v>0.49376639</v>
      </c>
      <c r="V263" t="n">
        <v>0.70953672</v>
      </c>
      <c r="W263" t="n">
        <v>0.92394658</v>
      </c>
      <c r="X263" t="n">
        <v>0.0432943</v>
      </c>
      <c r="Y263" t="n">
        <v>0.03870358</v>
      </c>
      <c r="Z263" t="n">
        <v>0.03025473</v>
      </c>
      <c r="AA263" t="n">
        <v>0.02256285</v>
      </c>
      <c r="AB263" t="n">
        <v>0.01999889</v>
      </c>
      <c r="AC263" t="n">
        <v>0.01680004</v>
      </c>
      <c r="AD263" t="n">
        <v>0.01584772</v>
      </c>
      <c r="AE263" t="n">
        <v>0.01509074</v>
      </c>
      <c r="AF263" t="n">
        <v>0.01675121</v>
      </c>
      <c r="AG263" t="n">
        <v>0.01921749</v>
      </c>
      <c r="AH263" t="n">
        <v>0.028521</v>
      </c>
      <c r="AI263" t="n">
        <v>0.03594428</v>
      </c>
    </row>
    <row r="264">
      <c r="A264" t="n">
        <v>67</v>
      </c>
      <c r="B264" s="13" t="n">
        <v>44927</v>
      </c>
      <c r="C264" s="13" t="n">
        <v>45291</v>
      </c>
      <c r="D264" s="13" t="n">
        <v>44927</v>
      </c>
      <c r="E264" t="n">
        <v>0</v>
      </c>
      <c r="F264" s="13" t="n">
        <v>45291</v>
      </c>
      <c r="G264" t="n">
        <v>40.66</v>
      </c>
      <c r="H264" t="n">
        <v>14.44</v>
      </c>
      <c r="I264" t="n">
        <v>11.56</v>
      </c>
      <c r="J264" t="n">
        <v>11.27</v>
      </c>
      <c r="K264" t="n">
        <v>13.94</v>
      </c>
      <c r="L264" t="n">
        <v>5.68</v>
      </c>
      <c r="M264" t="n">
        <v>5.02</v>
      </c>
      <c r="N264" t="n">
        <v>5.59</v>
      </c>
      <c r="O264" t="n">
        <v>4.65</v>
      </c>
      <c r="P264" t="n">
        <v>4.56</v>
      </c>
      <c r="Q264" t="n">
        <v>4.08</v>
      </c>
      <c r="R264" t="n">
        <v>4.35</v>
      </c>
      <c r="S264" t="n">
        <v>4.35</v>
      </c>
      <c r="T264" t="n">
        <v>4.21</v>
      </c>
      <c r="U264" t="n">
        <v>4.97</v>
      </c>
      <c r="V264" t="n">
        <v>5.18</v>
      </c>
      <c r="W264" t="n">
        <v>5.7</v>
      </c>
      <c r="X264" t="n">
        <v>0.29</v>
      </c>
      <c r="Y264" t="n">
        <v>0.27</v>
      </c>
      <c r="Z264" t="n">
        <v>0.27</v>
      </c>
      <c r="AA264" t="n">
        <v>0.24</v>
      </c>
      <c r="AB264" t="n">
        <v>0.22</v>
      </c>
      <c r="AC264" t="n">
        <v>0.21</v>
      </c>
      <c r="AD264" t="n">
        <v>0.21</v>
      </c>
      <c r="AE264" t="n">
        <v>0.21</v>
      </c>
      <c r="AF264" t="n">
        <v>0.21</v>
      </c>
      <c r="AG264" t="n">
        <v>0.24</v>
      </c>
      <c r="AH264" t="n">
        <v>0.26</v>
      </c>
      <c r="AI264" t="n">
        <v>0.28</v>
      </c>
    </row>
    <row r="265">
      <c r="A265" t="n">
        <v>67</v>
      </c>
      <c r="B265" s="13" t="n">
        <v>45292</v>
      </c>
      <c r="C265" s="13" t="n">
        <v>45657</v>
      </c>
      <c r="D265" s="13" t="n">
        <v>45292</v>
      </c>
      <c r="E265" t="n">
        <v>0</v>
      </c>
      <c r="F265" s="13" t="n">
        <v>45657</v>
      </c>
      <c r="G265" t="n">
        <v>54.25944</v>
      </c>
      <c r="H265" t="n">
        <v>19.479882</v>
      </c>
      <c r="I265" t="n">
        <v>15.827404</v>
      </c>
      <c r="J265" t="n">
        <v>14.77046</v>
      </c>
      <c r="K265" t="n">
        <v>18.599839</v>
      </c>
      <c r="L265" t="n">
        <v>7.626053</v>
      </c>
      <c r="M265" t="n">
        <v>6.940749</v>
      </c>
      <c r="N265" t="n">
        <v>7.281171</v>
      </c>
      <c r="O265" t="n">
        <v>6.332746</v>
      </c>
      <c r="P265" t="n">
        <v>6.221254</v>
      </c>
      <c r="Q265" t="n">
        <v>5.44081</v>
      </c>
      <c r="R265" t="n">
        <v>5.62217</v>
      </c>
      <c r="S265" t="n">
        <v>5.62217</v>
      </c>
      <c r="T265" t="n">
        <v>5.619197</v>
      </c>
      <c r="U265" t="n">
        <v>6.636004</v>
      </c>
      <c r="V265" t="n">
        <v>6.912504</v>
      </c>
      <c r="W265" t="n">
        <v>7.742004</v>
      </c>
      <c r="X265" t="n">
        <v>0.386506</v>
      </c>
      <c r="Y265" t="n">
        <v>0.362721</v>
      </c>
      <c r="Z265" t="n">
        <v>0.356774</v>
      </c>
      <c r="AA265" t="n">
        <v>0.321097</v>
      </c>
      <c r="AB265" t="n">
        <v>0.304745</v>
      </c>
      <c r="AC265" t="n">
        <v>0.275014</v>
      </c>
      <c r="AD265" t="n">
        <v>0.275014</v>
      </c>
      <c r="AE265" t="n">
        <v>0.275014</v>
      </c>
      <c r="AF265" t="n">
        <v>0.283933</v>
      </c>
      <c r="AG265" t="n">
        <v>0.32407</v>
      </c>
      <c r="AH265" t="n">
        <v>0.349342</v>
      </c>
      <c r="AI265" t="n">
        <v>0.379073</v>
      </c>
    </row>
    <row r="266">
      <c r="A266" t="n">
        <v>67</v>
      </c>
      <c r="B266" s="13" t="n">
        <v>45658</v>
      </c>
      <c r="C266" s="13" t="n">
        <v>46022</v>
      </c>
      <c r="D266" s="13" t="n">
        <v>45658</v>
      </c>
      <c r="E266" t="n">
        <v>0</v>
      </c>
      <c r="F266" s="13" t="n">
        <v>46022</v>
      </c>
      <c r="G266" t="n">
        <v>69.16896</v>
      </c>
      <c r="H266" t="n">
        <v>24.9008256</v>
      </c>
      <c r="I266" t="n">
        <v>20.1764909</v>
      </c>
      <c r="J266" t="n">
        <v>18.3060864</v>
      </c>
      <c r="K266" t="n">
        <v>23.5363968</v>
      </c>
      <c r="L266" t="n">
        <v>10.280592</v>
      </c>
      <c r="M266" t="n">
        <v>8.755084800000001</v>
      </c>
      <c r="N266" t="n">
        <v>9.399398400000001</v>
      </c>
      <c r="O266" t="n">
        <v>8.243423999999999</v>
      </c>
      <c r="P266" t="n">
        <v>7.8132499</v>
      </c>
      <c r="Q266" t="n">
        <v>6.9926976</v>
      </c>
      <c r="R266" t="n">
        <v>7.0495488</v>
      </c>
      <c r="S266" t="n">
        <v>6.8733101</v>
      </c>
      <c r="T266" t="n">
        <v>6.9358464</v>
      </c>
      <c r="U266" t="n">
        <v>7.9894886</v>
      </c>
      <c r="V266" t="n">
        <v>8.755084800000001</v>
      </c>
      <c r="W266" t="n">
        <v>10.045607</v>
      </c>
      <c r="X266" t="n">
        <v>0.5040806</v>
      </c>
      <c r="Y266" t="n">
        <v>0.475655</v>
      </c>
      <c r="Z266" t="n">
        <v>0.4585997</v>
      </c>
      <c r="AA266" t="n">
        <v>0.4169088</v>
      </c>
      <c r="AB266" t="n">
        <v>0.3827981</v>
      </c>
      <c r="AC266" t="n">
        <v>0.3543725</v>
      </c>
      <c r="AD266" t="n">
        <v>0.3467923</v>
      </c>
      <c r="AE266" t="n">
        <v>0.3373171</v>
      </c>
      <c r="AF266" t="n">
        <v>0.3505824</v>
      </c>
      <c r="AG266" t="n">
        <v>0.3922733</v>
      </c>
      <c r="AH266" t="n">
        <v>0.4415443</v>
      </c>
      <c r="AI266" t="n">
        <v>0.4927104</v>
      </c>
    </row>
    <row r="267">
      <c r="A267" t="n">
        <v>67</v>
      </c>
      <c r="B267" s="13" t="n">
        <v>46023</v>
      </c>
      <c r="C267" s="13" t="n">
        <v>46387</v>
      </c>
      <c r="D267" s="13" t="n">
        <v>46023</v>
      </c>
      <c r="E267" t="n">
        <v>0</v>
      </c>
      <c r="F267" s="13" t="n">
        <v>46387</v>
      </c>
      <c r="G267" t="n">
        <v>67.53084</v>
      </c>
      <c r="H267" t="n">
        <v>18.316584</v>
      </c>
      <c r="I267" t="n">
        <v>18.5201016</v>
      </c>
      <c r="J267" t="n">
        <v>18.7236192</v>
      </c>
      <c r="K267" t="n">
        <v>18.7236192</v>
      </c>
      <c r="L267" t="n">
        <v>7.16937</v>
      </c>
      <c r="M267" t="n">
        <v>6.47556</v>
      </c>
      <c r="N267" t="n">
        <v>7.16937</v>
      </c>
      <c r="O267" t="n">
        <v>6.9381</v>
      </c>
      <c r="P267" t="n">
        <v>7.16937</v>
      </c>
      <c r="Q267" t="n">
        <v>6.9381</v>
      </c>
      <c r="R267" t="n">
        <v>7.16937</v>
      </c>
      <c r="S267" t="n">
        <v>7.16937</v>
      </c>
      <c r="T267" t="n">
        <v>6.9381</v>
      </c>
      <c r="U267" t="n">
        <v>7.16937</v>
      </c>
      <c r="V267" t="n">
        <v>6.9381</v>
      </c>
      <c r="W267" t="n">
        <v>7.16937</v>
      </c>
      <c r="X267" t="n">
        <v>0.3607812</v>
      </c>
      <c r="Y267" t="n">
        <v>0.3607812</v>
      </c>
      <c r="Z267" t="n">
        <v>0.3607812</v>
      </c>
      <c r="AA267" t="n">
        <v>0.3607812</v>
      </c>
      <c r="AB267" t="n">
        <v>0.3607812</v>
      </c>
      <c r="AC267" t="n">
        <v>0.3607812</v>
      </c>
      <c r="AD267" t="n">
        <v>0.3607812</v>
      </c>
      <c r="AE267" t="n">
        <v>0.3607812</v>
      </c>
      <c r="AF267" t="n">
        <v>0.3607812</v>
      </c>
      <c r="AG267" t="n">
        <v>0.3607812</v>
      </c>
      <c r="AH267" t="n">
        <v>0.3607812</v>
      </c>
      <c r="AI267" t="n">
        <v>0.3607812</v>
      </c>
    </row>
    <row r="268">
      <c r="A268" t="n">
        <v>67</v>
      </c>
      <c r="B268" s="13" t="n">
        <v>46388</v>
      </c>
      <c r="C268" s="13" t="n">
        <v>2958465</v>
      </c>
      <c r="D268" s="13" t="n">
        <v>46388</v>
      </c>
      <c r="E268" t="n">
        <v>1</v>
      </c>
      <c r="G268" t="n">
        <v>54.86388</v>
      </c>
      <c r="H268" t="n">
        <v>14.880888</v>
      </c>
      <c r="I268" t="n">
        <v>15.0462312</v>
      </c>
      <c r="J268" t="n">
        <v>15.2115744</v>
      </c>
      <c r="K268" t="n">
        <v>15.2115744</v>
      </c>
      <c r="L268" t="n">
        <v>5.82459</v>
      </c>
      <c r="M268" t="n">
        <v>5.26092</v>
      </c>
      <c r="N268" t="n">
        <v>5.82459</v>
      </c>
      <c r="O268" t="n">
        <v>5.6367</v>
      </c>
      <c r="P268" t="n">
        <v>5.82459</v>
      </c>
      <c r="Q268" t="n">
        <v>5.6367</v>
      </c>
      <c r="R268" t="n">
        <v>5.82459</v>
      </c>
      <c r="S268" t="n">
        <v>5.82459</v>
      </c>
      <c r="T268" t="n">
        <v>5.6367</v>
      </c>
      <c r="U268" t="n">
        <v>5.82459</v>
      </c>
      <c r="V268" t="n">
        <v>5.6367</v>
      </c>
      <c r="W268" t="n">
        <v>5.82459</v>
      </c>
      <c r="X268" t="n">
        <v>0.2404992</v>
      </c>
      <c r="Y268" t="n">
        <v>0.2404992</v>
      </c>
      <c r="Z268" t="n">
        <v>0.2404992</v>
      </c>
      <c r="AA268" t="n">
        <v>0.2404992</v>
      </c>
      <c r="AB268" t="n">
        <v>0.2404992</v>
      </c>
      <c r="AC268" t="n">
        <v>0.2404992</v>
      </c>
      <c r="AD268" t="n">
        <v>0.2404992</v>
      </c>
      <c r="AE268" t="n">
        <v>0.2404992</v>
      </c>
      <c r="AF268" t="n">
        <v>0.2404992</v>
      </c>
      <c r="AG268" t="n">
        <v>0.2404992</v>
      </c>
      <c r="AH268" t="n">
        <v>0.2404992</v>
      </c>
      <c r="AI268" t="n">
        <v>0.2404992</v>
      </c>
    </row>
    <row r="269">
      <c r="A269" t="n">
        <v>68</v>
      </c>
      <c r="B269" s="13" t="n">
        <v>44927</v>
      </c>
      <c r="C269" s="13" t="n">
        <v>45291</v>
      </c>
      <c r="D269" s="13" t="n">
        <v>44927</v>
      </c>
      <c r="E269" t="n">
        <v>0</v>
      </c>
      <c r="F269" s="13" t="n">
        <v>45291</v>
      </c>
      <c r="G269" t="n">
        <v>40.66</v>
      </c>
      <c r="H269" t="n">
        <v>14.44</v>
      </c>
      <c r="I269" t="n">
        <v>11.56</v>
      </c>
      <c r="J269" t="n">
        <v>11.27</v>
      </c>
      <c r="K269" t="n">
        <v>13.94</v>
      </c>
      <c r="L269" t="n">
        <v>5.68</v>
      </c>
      <c r="M269" t="n">
        <v>5.02</v>
      </c>
      <c r="N269" t="n">
        <v>5.59</v>
      </c>
      <c r="O269" t="n">
        <v>4.65</v>
      </c>
      <c r="P269" t="n">
        <v>4.56</v>
      </c>
      <c r="Q269" t="n">
        <v>4.08</v>
      </c>
      <c r="R269" t="n">
        <v>4.35</v>
      </c>
      <c r="S269" t="n">
        <v>4.35</v>
      </c>
      <c r="T269" t="n">
        <v>4.21</v>
      </c>
      <c r="U269" t="n">
        <v>4.97</v>
      </c>
      <c r="V269" t="n">
        <v>5.18</v>
      </c>
      <c r="W269" t="n">
        <v>5.7</v>
      </c>
      <c r="X269" t="n">
        <v>0.29</v>
      </c>
      <c r="Y269" t="n">
        <v>0.27</v>
      </c>
      <c r="Z269" t="n">
        <v>0.27</v>
      </c>
      <c r="AA269" t="n">
        <v>0.24</v>
      </c>
      <c r="AB269" t="n">
        <v>0.22</v>
      </c>
      <c r="AC269" t="n">
        <v>0.21</v>
      </c>
      <c r="AD269" t="n">
        <v>0.21</v>
      </c>
      <c r="AE269" t="n">
        <v>0.21</v>
      </c>
      <c r="AF269" t="n">
        <v>0.21</v>
      </c>
      <c r="AG269" t="n">
        <v>0.24</v>
      </c>
      <c r="AH269" t="n">
        <v>0.26</v>
      </c>
      <c r="AI269" t="n">
        <v>0.28</v>
      </c>
    </row>
    <row r="270">
      <c r="A270" t="n">
        <v>68</v>
      </c>
      <c r="B270" s="13" t="n">
        <v>45292</v>
      </c>
      <c r="C270" s="13" t="n">
        <v>45657</v>
      </c>
      <c r="D270" s="13" t="n">
        <v>45292</v>
      </c>
      <c r="E270" t="n">
        <v>0</v>
      </c>
      <c r="F270" s="13" t="n">
        <v>45657</v>
      </c>
      <c r="G270" t="n">
        <v>54.25944</v>
      </c>
      <c r="H270" t="n">
        <v>19.479882</v>
      </c>
      <c r="I270" t="n">
        <v>15.827404</v>
      </c>
      <c r="J270" t="n">
        <v>14.77046</v>
      </c>
      <c r="K270" t="n">
        <v>18.599839</v>
      </c>
      <c r="L270" t="n">
        <v>7.626053</v>
      </c>
      <c r="M270" t="n">
        <v>6.940749</v>
      </c>
      <c r="N270" t="n">
        <v>7.281171</v>
      </c>
      <c r="O270" t="n">
        <v>6.332746</v>
      </c>
      <c r="P270" t="n">
        <v>6.221254</v>
      </c>
      <c r="Q270" t="n">
        <v>5.44081</v>
      </c>
      <c r="R270" t="n">
        <v>5.62217</v>
      </c>
      <c r="S270" t="n">
        <v>5.62217</v>
      </c>
      <c r="T270" t="n">
        <v>5.619197</v>
      </c>
      <c r="U270" t="n">
        <v>6.636004</v>
      </c>
      <c r="V270" t="n">
        <v>6.912504</v>
      </c>
      <c r="W270" t="n">
        <v>7.742004</v>
      </c>
      <c r="X270" t="n">
        <v>0.386506</v>
      </c>
      <c r="Y270" t="n">
        <v>0.362721</v>
      </c>
      <c r="Z270" t="n">
        <v>0.356774</v>
      </c>
      <c r="AA270" t="n">
        <v>0.321097</v>
      </c>
      <c r="AB270" t="n">
        <v>0.304745</v>
      </c>
      <c r="AC270" t="n">
        <v>0.275014</v>
      </c>
      <c r="AD270" t="n">
        <v>0.275014</v>
      </c>
      <c r="AE270" t="n">
        <v>0.275014</v>
      </c>
      <c r="AF270" t="n">
        <v>0.283933</v>
      </c>
      <c r="AG270" t="n">
        <v>0.32407</v>
      </c>
      <c r="AH270" t="n">
        <v>0.349342</v>
      </c>
      <c r="AI270" t="n">
        <v>0.379073</v>
      </c>
    </row>
    <row r="271">
      <c r="A271" t="n">
        <v>68</v>
      </c>
      <c r="B271" s="13" t="n">
        <v>45658</v>
      </c>
      <c r="C271" s="13" t="n">
        <v>46022</v>
      </c>
      <c r="D271" s="13" t="n">
        <v>45658</v>
      </c>
      <c r="E271" t="n">
        <v>0</v>
      </c>
      <c r="F271" s="13" t="n">
        <v>46022</v>
      </c>
      <c r="G271" t="n">
        <v>69.16896</v>
      </c>
      <c r="H271" t="n">
        <v>24.9008256</v>
      </c>
      <c r="I271" t="n">
        <v>20.1764909</v>
      </c>
      <c r="J271" t="n">
        <v>18.3060864</v>
      </c>
      <c r="K271" t="n">
        <v>23.5363968</v>
      </c>
      <c r="L271" t="n">
        <v>10.280592</v>
      </c>
      <c r="M271" t="n">
        <v>8.755084800000001</v>
      </c>
      <c r="N271" t="n">
        <v>9.399398400000001</v>
      </c>
      <c r="O271" t="n">
        <v>8.243423999999999</v>
      </c>
      <c r="P271" t="n">
        <v>7.8132499</v>
      </c>
      <c r="Q271" t="n">
        <v>6.9926976</v>
      </c>
      <c r="R271" t="n">
        <v>7.0495488</v>
      </c>
      <c r="S271" t="n">
        <v>6.8733101</v>
      </c>
      <c r="T271" t="n">
        <v>6.9358464</v>
      </c>
      <c r="U271" t="n">
        <v>7.9894886</v>
      </c>
      <c r="V271" t="n">
        <v>8.755084800000001</v>
      </c>
      <c r="W271" t="n">
        <v>10.045607</v>
      </c>
      <c r="X271" t="n">
        <v>0.5040806</v>
      </c>
      <c r="Y271" t="n">
        <v>0.475655</v>
      </c>
      <c r="Z271" t="n">
        <v>0.4585997</v>
      </c>
      <c r="AA271" t="n">
        <v>0.4169088</v>
      </c>
      <c r="AB271" t="n">
        <v>0.3827981</v>
      </c>
      <c r="AC271" t="n">
        <v>0.3543725</v>
      </c>
      <c r="AD271" t="n">
        <v>0.3467923</v>
      </c>
      <c r="AE271" t="n">
        <v>0.3373171</v>
      </c>
      <c r="AF271" t="n">
        <v>0.3505824</v>
      </c>
      <c r="AG271" t="n">
        <v>0.3922733</v>
      </c>
      <c r="AH271" t="n">
        <v>0.4415443</v>
      </c>
      <c r="AI271" t="n">
        <v>0.4927104</v>
      </c>
    </row>
    <row r="272">
      <c r="A272" t="n">
        <v>68</v>
      </c>
      <c r="B272" s="13" t="n">
        <v>46023</v>
      </c>
      <c r="C272" s="13" t="n">
        <v>46387</v>
      </c>
      <c r="D272" s="13" t="n">
        <v>46023</v>
      </c>
      <c r="E272" t="n">
        <v>0</v>
      </c>
      <c r="F272" s="13" t="n">
        <v>46387</v>
      </c>
      <c r="G272" t="n">
        <v>67.53084</v>
      </c>
      <c r="H272" t="n">
        <v>18.316584</v>
      </c>
      <c r="I272" t="n">
        <v>18.5201016</v>
      </c>
      <c r="J272" t="n">
        <v>18.7236192</v>
      </c>
      <c r="K272" t="n">
        <v>18.7236192</v>
      </c>
      <c r="L272" t="n">
        <v>7.16937</v>
      </c>
      <c r="M272" t="n">
        <v>6.47556</v>
      </c>
      <c r="N272" t="n">
        <v>7.16937</v>
      </c>
      <c r="O272" t="n">
        <v>6.9381</v>
      </c>
      <c r="P272" t="n">
        <v>7.16937</v>
      </c>
      <c r="Q272" t="n">
        <v>6.9381</v>
      </c>
      <c r="R272" t="n">
        <v>7.16937</v>
      </c>
      <c r="S272" t="n">
        <v>7.16937</v>
      </c>
      <c r="T272" t="n">
        <v>6.9381</v>
      </c>
      <c r="U272" t="n">
        <v>7.16937</v>
      </c>
      <c r="V272" t="n">
        <v>6.9381</v>
      </c>
      <c r="W272" t="n">
        <v>7.16937</v>
      </c>
      <c r="X272" t="n">
        <v>0.3607812</v>
      </c>
      <c r="Y272" t="n">
        <v>0.3607812</v>
      </c>
      <c r="Z272" t="n">
        <v>0.3607812</v>
      </c>
      <c r="AA272" t="n">
        <v>0.3607812</v>
      </c>
      <c r="AB272" t="n">
        <v>0.3607812</v>
      </c>
      <c r="AC272" t="n">
        <v>0.3607812</v>
      </c>
      <c r="AD272" t="n">
        <v>0.3607812</v>
      </c>
      <c r="AE272" t="n">
        <v>0.3607812</v>
      </c>
      <c r="AF272" t="n">
        <v>0.3607812</v>
      </c>
      <c r="AG272" t="n">
        <v>0.3607812</v>
      </c>
      <c r="AH272" t="n">
        <v>0.3607812</v>
      </c>
      <c r="AI272" t="n">
        <v>0.3607812</v>
      </c>
    </row>
    <row r="273">
      <c r="A273" t="n">
        <v>68</v>
      </c>
      <c r="B273" s="13" t="n">
        <v>46388</v>
      </c>
      <c r="C273" s="13" t="n">
        <v>2958465</v>
      </c>
      <c r="D273" s="13" t="n">
        <v>46388</v>
      </c>
      <c r="E273" t="n">
        <v>1</v>
      </c>
      <c r="G273" t="n">
        <v>54.86388</v>
      </c>
      <c r="H273" t="n">
        <v>14.880888</v>
      </c>
      <c r="I273" t="n">
        <v>15.0462312</v>
      </c>
      <c r="J273" t="n">
        <v>15.2115744</v>
      </c>
      <c r="K273" t="n">
        <v>15.2115744</v>
      </c>
      <c r="L273" t="n">
        <v>5.82459</v>
      </c>
      <c r="M273" t="n">
        <v>5.26092</v>
      </c>
      <c r="N273" t="n">
        <v>5.82459</v>
      </c>
      <c r="O273" t="n">
        <v>5.6367</v>
      </c>
      <c r="P273" t="n">
        <v>5.82459</v>
      </c>
      <c r="Q273" t="n">
        <v>5.6367</v>
      </c>
      <c r="R273" t="n">
        <v>5.82459</v>
      </c>
      <c r="S273" t="n">
        <v>5.82459</v>
      </c>
      <c r="T273" t="n">
        <v>5.6367</v>
      </c>
      <c r="U273" t="n">
        <v>5.82459</v>
      </c>
      <c r="V273" t="n">
        <v>5.6367</v>
      </c>
      <c r="W273" t="n">
        <v>5.82459</v>
      </c>
      <c r="X273" t="n">
        <v>0.2404992</v>
      </c>
      <c r="Y273" t="n">
        <v>0.2404992</v>
      </c>
      <c r="Z273" t="n">
        <v>0.2404992</v>
      </c>
      <c r="AA273" t="n">
        <v>0.2404992</v>
      </c>
      <c r="AB273" t="n">
        <v>0.2404992</v>
      </c>
      <c r="AC273" t="n">
        <v>0.2404992</v>
      </c>
      <c r="AD273" t="n">
        <v>0.2404992</v>
      </c>
      <c r="AE273" t="n">
        <v>0.2404992</v>
      </c>
      <c r="AF273" t="n">
        <v>0.2404992</v>
      </c>
      <c r="AG273" t="n">
        <v>0.2404992</v>
      </c>
      <c r="AH273" t="n">
        <v>0.2404992</v>
      </c>
      <c r="AI273" t="n">
        <v>0.2404992</v>
      </c>
    </row>
    <row r="274">
      <c r="A274" t="n">
        <v>69</v>
      </c>
      <c r="B274" s="13" t="n">
        <v>44927</v>
      </c>
      <c r="C274" s="13" t="n">
        <v>45291</v>
      </c>
      <c r="D274" s="13" t="n">
        <v>44927</v>
      </c>
      <c r="E274" t="n">
        <v>0</v>
      </c>
      <c r="F274" s="13" t="n">
        <v>45291</v>
      </c>
      <c r="G274" t="n">
        <v>40.66</v>
      </c>
      <c r="H274" t="n">
        <v>14.44</v>
      </c>
      <c r="I274" t="n">
        <v>11.56</v>
      </c>
      <c r="J274" t="n">
        <v>11.27</v>
      </c>
      <c r="K274" t="n">
        <v>13.94</v>
      </c>
      <c r="L274" t="n">
        <v>5.68</v>
      </c>
      <c r="M274" t="n">
        <v>5.02</v>
      </c>
      <c r="N274" t="n">
        <v>5.59</v>
      </c>
      <c r="O274" t="n">
        <v>4.65</v>
      </c>
      <c r="P274" t="n">
        <v>4.56</v>
      </c>
      <c r="Q274" t="n">
        <v>4.08</v>
      </c>
      <c r="R274" t="n">
        <v>4.35</v>
      </c>
      <c r="S274" t="n">
        <v>4.35</v>
      </c>
      <c r="T274" t="n">
        <v>4.21</v>
      </c>
      <c r="U274" t="n">
        <v>4.97</v>
      </c>
      <c r="V274" t="n">
        <v>5.18</v>
      </c>
      <c r="W274" t="n">
        <v>5.7</v>
      </c>
      <c r="X274" t="n">
        <v>0.29</v>
      </c>
      <c r="Y274" t="n">
        <v>0.27</v>
      </c>
      <c r="Z274" t="n">
        <v>0.27</v>
      </c>
      <c r="AA274" t="n">
        <v>0.24</v>
      </c>
      <c r="AB274" t="n">
        <v>0.22</v>
      </c>
      <c r="AC274" t="n">
        <v>0.21</v>
      </c>
      <c r="AD274" t="n">
        <v>0.21</v>
      </c>
      <c r="AE274" t="n">
        <v>0.21</v>
      </c>
      <c r="AF274" t="n">
        <v>0.21</v>
      </c>
      <c r="AG274" t="n">
        <v>0.24</v>
      </c>
      <c r="AH274" t="n">
        <v>0.26</v>
      </c>
      <c r="AI274" t="n">
        <v>0.28</v>
      </c>
    </row>
    <row r="275">
      <c r="A275" t="n">
        <v>69</v>
      </c>
      <c r="B275" s="13" t="n">
        <v>45292</v>
      </c>
      <c r="C275" s="13" t="n">
        <v>45657</v>
      </c>
      <c r="D275" s="13" t="n">
        <v>45292</v>
      </c>
      <c r="E275" t="n">
        <v>0</v>
      </c>
      <c r="F275" s="13" t="n">
        <v>45657</v>
      </c>
      <c r="G275" t="n">
        <v>54.25944</v>
      </c>
      <c r="H275" t="n">
        <v>19.479882</v>
      </c>
      <c r="I275" t="n">
        <v>15.827404</v>
      </c>
      <c r="J275" t="n">
        <v>14.77046</v>
      </c>
      <c r="K275" t="n">
        <v>18.599839</v>
      </c>
      <c r="L275" t="n">
        <v>7.626053</v>
      </c>
      <c r="M275" t="n">
        <v>6.940749</v>
      </c>
      <c r="N275" t="n">
        <v>7.281171</v>
      </c>
      <c r="O275" t="n">
        <v>6.332746</v>
      </c>
      <c r="P275" t="n">
        <v>6.221254</v>
      </c>
      <c r="Q275" t="n">
        <v>5.44081</v>
      </c>
      <c r="R275" t="n">
        <v>5.62217</v>
      </c>
      <c r="S275" t="n">
        <v>5.62217</v>
      </c>
      <c r="T275" t="n">
        <v>5.619197</v>
      </c>
      <c r="U275" t="n">
        <v>6.636004</v>
      </c>
      <c r="V275" t="n">
        <v>6.912504</v>
      </c>
      <c r="W275" t="n">
        <v>7.742004</v>
      </c>
      <c r="X275" t="n">
        <v>0.386506</v>
      </c>
      <c r="Y275" t="n">
        <v>0.362721</v>
      </c>
      <c r="Z275" t="n">
        <v>0.356774</v>
      </c>
      <c r="AA275" t="n">
        <v>0.321097</v>
      </c>
      <c r="AB275" t="n">
        <v>0.304745</v>
      </c>
      <c r="AC275" t="n">
        <v>0.275014</v>
      </c>
      <c r="AD275" t="n">
        <v>0.275014</v>
      </c>
      <c r="AE275" t="n">
        <v>0.275014</v>
      </c>
      <c r="AF275" t="n">
        <v>0.283933</v>
      </c>
      <c r="AG275" t="n">
        <v>0.32407</v>
      </c>
      <c r="AH275" t="n">
        <v>0.349342</v>
      </c>
      <c r="AI275" t="n">
        <v>0.379073</v>
      </c>
    </row>
    <row r="276">
      <c r="A276" t="n">
        <v>69</v>
      </c>
      <c r="B276" s="13" t="n">
        <v>45658</v>
      </c>
      <c r="C276" s="13" t="n">
        <v>46022</v>
      </c>
      <c r="D276" s="13" t="n">
        <v>45658</v>
      </c>
      <c r="E276" t="n">
        <v>0</v>
      </c>
      <c r="F276" s="13" t="n">
        <v>46022</v>
      </c>
      <c r="G276" t="n">
        <v>69.16896</v>
      </c>
      <c r="H276" t="n">
        <v>24.9008256</v>
      </c>
      <c r="I276" t="n">
        <v>20.1764909</v>
      </c>
      <c r="J276" t="n">
        <v>18.3060864</v>
      </c>
      <c r="K276" t="n">
        <v>23.5363968</v>
      </c>
      <c r="L276" t="n">
        <v>10.280592</v>
      </c>
      <c r="M276" t="n">
        <v>8.755084800000001</v>
      </c>
      <c r="N276" t="n">
        <v>9.399398400000001</v>
      </c>
      <c r="O276" t="n">
        <v>8.243423999999999</v>
      </c>
      <c r="P276" t="n">
        <v>7.8132499</v>
      </c>
      <c r="Q276" t="n">
        <v>6.9926976</v>
      </c>
      <c r="R276" t="n">
        <v>7.0495488</v>
      </c>
      <c r="S276" t="n">
        <v>6.8733101</v>
      </c>
      <c r="T276" t="n">
        <v>6.9358464</v>
      </c>
      <c r="U276" t="n">
        <v>7.9894886</v>
      </c>
      <c r="V276" t="n">
        <v>8.755084800000001</v>
      </c>
      <c r="W276" t="n">
        <v>10.045607</v>
      </c>
      <c r="X276" t="n">
        <v>0.5040806</v>
      </c>
      <c r="Y276" t="n">
        <v>0.475655</v>
      </c>
      <c r="Z276" t="n">
        <v>0.4585997</v>
      </c>
      <c r="AA276" t="n">
        <v>0.4169088</v>
      </c>
      <c r="AB276" t="n">
        <v>0.3827981</v>
      </c>
      <c r="AC276" t="n">
        <v>0.3543725</v>
      </c>
      <c r="AD276" t="n">
        <v>0.3467923</v>
      </c>
      <c r="AE276" t="n">
        <v>0.3373171</v>
      </c>
      <c r="AF276" t="n">
        <v>0.3505824</v>
      </c>
      <c r="AG276" t="n">
        <v>0.3922733</v>
      </c>
      <c r="AH276" t="n">
        <v>0.4415443</v>
      </c>
      <c r="AI276" t="n">
        <v>0.4927104</v>
      </c>
    </row>
    <row r="277">
      <c r="A277" t="n">
        <v>69</v>
      </c>
      <c r="B277" s="13" t="n">
        <v>46023</v>
      </c>
      <c r="C277" s="13" t="n">
        <v>46387</v>
      </c>
      <c r="D277" s="13" t="n">
        <v>46023</v>
      </c>
      <c r="E277" t="n">
        <v>0</v>
      </c>
      <c r="F277" s="13" t="n">
        <v>46387</v>
      </c>
      <c r="G277" t="n">
        <v>67.53084</v>
      </c>
      <c r="H277" t="n">
        <v>18.316584</v>
      </c>
      <c r="I277" t="n">
        <v>18.5201016</v>
      </c>
      <c r="J277" t="n">
        <v>18.7236192</v>
      </c>
      <c r="K277" t="n">
        <v>18.7236192</v>
      </c>
      <c r="L277" t="n">
        <v>7.16937</v>
      </c>
      <c r="M277" t="n">
        <v>6.47556</v>
      </c>
      <c r="N277" t="n">
        <v>7.16937</v>
      </c>
      <c r="O277" t="n">
        <v>6.9381</v>
      </c>
      <c r="P277" t="n">
        <v>7.16937</v>
      </c>
      <c r="Q277" t="n">
        <v>6.9381</v>
      </c>
      <c r="R277" t="n">
        <v>7.16937</v>
      </c>
      <c r="S277" t="n">
        <v>7.16937</v>
      </c>
      <c r="T277" t="n">
        <v>6.9381</v>
      </c>
      <c r="U277" t="n">
        <v>7.16937</v>
      </c>
      <c r="V277" t="n">
        <v>6.9381</v>
      </c>
      <c r="W277" t="n">
        <v>7.16937</v>
      </c>
      <c r="X277" t="n">
        <v>0.3607812</v>
      </c>
      <c r="Y277" t="n">
        <v>0.3607812</v>
      </c>
      <c r="Z277" t="n">
        <v>0.3607812</v>
      </c>
      <c r="AA277" t="n">
        <v>0.3607812</v>
      </c>
      <c r="AB277" t="n">
        <v>0.3607812</v>
      </c>
      <c r="AC277" t="n">
        <v>0.3607812</v>
      </c>
      <c r="AD277" t="n">
        <v>0.3607812</v>
      </c>
      <c r="AE277" t="n">
        <v>0.3607812</v>
      </c>
      <c r="AF277" t="n">
        <v>0.3607812</v>
      </c>
      <c r="AG277" t="n">
        <v>0.3607812</v>
      </c>
      <c r="AH277" t="n">
        <v>0.3607812</v>
      </c>
      <c r="AI277" t="n">
        <v>0.3607812</v>
      </c>
    </row>
    <row r="278">
      <c r="A278" t="n">
        <v>69</v>
      </c>
      <c r="B278" s="13" t="n">
        <v>46388</v>
      </c>
      <c r="C278" s="13" t="n">
        <v>2958465</v>
      </c>
      <c r="D278" s="13" t="n">
        <v>46388</v>
      </c>
      <c r="E278" t="n">
        <v>1</v>
      </c>
      <c r="G278" t="n">
        <v>54.86388</v>
      </c>
      <c r="H278" t="n">
        <v>14.880888</v>
      </c>
      <c r="I278" t="n">
        <v>15.0462312</v>
      </c>
      <c r="J278" t="n">
        <v>15.2115744</v>
      </c>
      <c r="K278" t="n">
        <v>15.2115744</v>
      </c>
      <c r="L278" t="n">
        <v>5.82459</v>
      </c>
      <c r="M278" t="n">
        <v>5.26092</v>
      </c>
      <c r="N278" t="n">
        <v>5.82459</v>
      </c>
      <c r="O278" t="n">
        <v>5.6367</v>
      </c>
      <c r="P278" t="n">
        <v>5.82459</v>
      </c>
      <c r="Q278" t="n">
        <v>5.6367</v>
      </c>
      <c r="R278" t="n">
        <v>5.82459</v>
      </c>
      <c r="S278" t="n">
        <v>5.82459</v>
      </c>
      <c r="T278" t="n">
        <v>5.6367</v>
      </c>
      <c r="U278" t="n">
        <v>5.82459</v>
      </c>
      <c r="V278" t="n">
        <v>5.6367</v>
      </c>
      <c r="W278" t="n">
        <v>5.82459</v>
      </c>
      <c r="X278" t="n">
        <v>0.2404992</v>
      </c>
      <c r="Y278" t="n">
        <v>0.2404992</v>
      </c>
      <c r="Z278" t="n">
        <v>0.2404992</v>
      </c>
      <c r="AA278" t="n">
        <v>0.2404992</v>
      </c>
      <c r="AB278" t="n">
        <v>0.2404992</v>
      </c>
      <c r="AC278" t="n">
        <v>0.2404992</v>
      </c>
      <c r="AD278" t="n">
        <v>0.2404992</v>
      </c>
      <c r="AE278" t="n">
        <v>0.2404992</v>
      </c>
      <c r="AF278" t="n">
        <v>0.2404992</v>
      </c>
      <c r="AG278" t="n">
        <v>0.2404992</v>
      </c>
      <c r="AH278" t="n">
        <v>0.2404992</v>
      </c>
      <c r="AI278" t="n">
        <v>0.2404992</v>
      </c>
    </row>
    <row r="279">
      <c r="A279" t="n">
        <v>70</v>
      </c>
      <c r="B279" s="13" t="n">
        <v>44927</v>
      </c>
      <c r="C279" s="13" t="n">
        <v>45291</v>
      </c>
      <c r="D279" s="13" t="n">
        <v>44927</v>
      </c>
      <c r="E279" t="n">
        <v>0</v>
      </c>
      <c r="F279" s="13" t="n">
        <v>45291</v>
      </c>
      <c r="G279" t="n">
        <v>22.18</v>
      </c>
      <c r="H279" t="n">
        <v>7.88</v>
      </c>
      <c r="I279" t="n">
        <v>6.3</v>
      </c>
      <c r="J279" t="n">
        <v>6.15</v>
      </c>
      <c r="K279" t="n">
        <v>7.6</v>
      </c>
      <c r="L279" t="n">
        <v>3.1</v>
      </c>
      <c r="M279" t="n">
        <v>2.74</v>
      </c>
      <c r="N279" t="n">
        <v>3.05</v>
      </c>
      <c r="O279" t="n">
        <v>2.53</v>
      </c>
      <c r="P279" t="n">
        <v>2.49</v>
      </c>
      <c r="Q279" t="n">
        <v>2.22</v>
      </c>
      <c r="R279" t="n">
        <v>2.37</v>
      </c>
      <c r="S279" t="n">
        <v>2.37</v>
      </c>
      <c r="T279" t="n">
        <v>2.3</v>
      </c>
      <c r="U279" t="n">
        <v>2.71</v>
      </c>
      <c r="V279" t="n">
        <v>2.83</v>
      </c>
      <c r="W279" t="n">
        <v>3.11</v>
      </c>
      <c r="X279" t="n">
        <v>0.16</v>
      </c>
      <c r="Y279" t="n">
        <v>0.15</v>
      </c>
      <c r="Z279" t="n">
        <v>0.15</v>
      </c>
      <c r="AA279" t="n">
        <v>0.13</v>
      </c>
      <c r="AB279" t="n">
        <v>0.12</v>
      </c>
      <c r="AC279" t="n">
        <v>0.11</v>
      </c>
      <c r="AD279" t="n">
        <v>0.12</v>
      </c>
      <c r="AE279" t="n">
        <v>0.12</v>
      </c>
      <c r="AF279" t="n">
        <v>0.12</v>
      </c>
      <c r="AG279" t="n">
        <v>0.13</v>
      </c>
      <c r="AH279" t="n">
        <v>0.14</v>
      </c>
      <c r="AI279" t="n">
        <v>0.15</v>
      </c>
    </row>
    <row r="280">
      <c r="A280" t="n">
        <v>70</v>
      </c>
      <c r="B280" s="13" t="n">
        <v>45292</v>
      </c>
      <c r="C280" s="13" t="n">
        <v>45657</v>
      </c>
      <c r="D280" s="13" t="n">
        <v>45292</v>
      </c>
      <c r="E280" t="n">
        <v>0</v>
      </c>
      <c r="F280" s="13" t="n">
        <v>45657</v>
      </c>
      <c r="G280" t="n">
        <v>26.35008</v>
      </c>
      <c r="H280" t="n">
        <v>9.460039999999999</v>
      </c>
      <c r="I280" t="n">
        <v>7.686282</v>
      </c>
      <c r="J280" t="n">
        <v>7.172997</v>
      </c>
      <c r="K280" t="n">
        <v>9.032662999999999</v>
      </c>
      <c r="L280" t="n">
        <v>3.70345</v>
      </c>
      <c r="M280" t="n">
        <v>3.370644</v>
      </c>
      <c r="N280" t="n">
        <v>3.535964</v>
      </c>
      <c r="O280" t="n">
        <v>3.075379</v>
      </c>
      <c r="P280" t="n">
        <v>3.021235</v>
      </c>
      <c r="Q280" t="n">
        <v>2.642227</v>
      </c>
      <c r="R280" t="n">
        <v>2.730301</v>
      </c>
      <c r="S280" t="n">
        <v>2.730301</v>
      </c>
      <c r="T280" t="n">
        <v>2.728858</v>
      </c>
      <c r="U280" t="n">
        <v>3.222651</v>
      </c>
      <c r="V280" t="n">
        <v>3.356928</v>
      </c>
      <c r="W280" t="n">
        <v>3.759759</v>
      </c>
      <c r="X280" t="n">
        <v>0.187699</v>
      </c>
      <c r="Y280" t="n">
        <v>0.176148</v>
      </c>
      <c r="Z280" t="n">
        <v>0.173261</v>
      </c>
      <c r="AA280" t="n">
        <v>0.155935</v>
      </c>
      <c r="AB280" t="n">
        <v>0.147994</v>
      </c>
      <c r="AC280" t="n">
        <v>0.133555</v>
      </c>
      <c r="AD280" t="n">
        <v>0.133555</v>
      </c>
      <c r="AE280" t="n">
        <v>0.133555</v>
      </c>
      <c r="AF280" t="n">
        <v>0.137887</v>
      </c>
      <c r="AG280" t="n">
        <v>0.157379</v>
      </c>
      <c r="AH280" t="n">
        <v>0.169651</v>
      </c>
      <c r="AI280" t="n">
        <v>0.18409</v>
      </c>
    </row>
    <row r="281">
      <c r="A281" t="n">
        <v>70</v>
      </c>
      <c r="B281" s="13" t="n">
        <v>45658</v>
      </c>
      <c r="C281" s="13" t="n">
        <v>46022</v>
      </c>
      <c r="D281" s="13" t="n">
        <v>45658</v>
      </c>
      <c r="E281" t="n">
        <v>0</v>
      </c>
      <c r="F281" s="13" t="n">
        <v>46022</v>
      </c>
      <c r="G281" t="n">
        <v>29.05692</v>
      </c>
      <c r="H281" t="n">
        <v>10.4604912</v>
      </c>
      <c r="I281" t="n">
        <v>8.475863800000001</v>
      </c>
      <c r="J281" t="n">
        <v>7.6901328</v>
      </c>
      <c r="K281" t="n">
        <v>9.887313600000001</v>
      </c>
      <c r="L281" t="n">
        <v>4.318734</v>
      </c>
      <c r="M281" t="n">
        <v>3.6778896</v>
      </c>
      <c r="N281" t="n">
        <v>3.9485568</v>
      </c>
      <c r="O281" t="n">
        <v>3.462948</v>
      </c>
      <c r="P281" t="n">
        <v>3.2822378</v>
      </c>
      <c r="Q281" t="n">
        <v>2.9375352</v>
      </c>
      <c r="R281" t="n">
        <v>2.9614176</v>
      </c>
      <c r="S281" t="n">
        <v>2.8873822</v>
      </c>
      <c r="T281" t="n">
        <v>2.9136528</v>
      </c>
      <c r="U281" t="n">
        <v>3.3562733</v>
      </c>
      <c r="V281" t="n">
        <v>3.6778896</v>
      </c>
      <c r="W281" t="n">
        <v>4.2200201</v>
      </c>
      <c r="X281" t="n">
        <v>0.2117573</v>
      </c>
      <c r="Y281" t="n">
        <v>0.1998161</v>
      </c>
      <c r="Z281" t="n">
        <v>0.1926514</v>
      </c>
      <c r="AA281" t="n">
        <v>0.1751376</v>
      </c>
      <c r="AB281" t="n">
        <v>0.1608082</v>
      </c>
      <c r="AC281" t="n">
        <v>0.148867</v>
      </c>
      <c r="AD281" t="n">
        <v>0.1456826</v>
      </c>
      <c r="AE281" t="n">
        <v>0.1417022</v>
      </c>
      <c r="AF281" t="n">
        <v>0.1472748</v>
      </c>
      <c r="AG281" t="n">
        <v>0.1647886</v>
      </c>
      <c r="AH281" t="n">
        <v>0.1854866</v>
      </c>
      <c r="AI281" t="n">
        <v>0.2069808</v>
      </c>
    </row>
    <row r="282">
      <c r="A282" t="n">
        <v>70</v>
      </c>
      <c r="B282" s="13" t="n">
        <v>46023</v>
      </c>
      <c r="C282" s="13" t="n">
        <v>46387</v>
      </c>
      <c r="D282" s="13" t="n">
        <v>46023</v>
      </c>
      <c r="E282" t="n">
        <v>0</v>
      </c>
      <c r="F282" s="13" t="n">
        <v>46387</v>
      </c>
      <c r="G282" t="n">
        <v>33.35808</v>
      </c>
      <c r="H282" t="n">
        <v>9.047808</v>
      </c>
      <c r="I282" t="n">
        <v>9.148339200000001</v>
      </c>
      <c r="J282" t="n">
        <v>9.248870399999999</v>
      </c>
      <c r="K282" t="n">
        <v>9.248870399999999</v>
      </c>
      <c r="L282" t="n">
        <v>3.54144</v>
      </c>
      <c r="M282" t="n">
        <v>3.19872</v>
      </c>
      <c r="N282" t="n">
        <v>3.54144</v>
      </c>
      <c r="O282" t="n">
        <v>3.4272</v>
      </c>
      <c r="P282" t="n">
        <v>3.54144</v>
      </c>
      <c r="Q282" t="n">
        <v>3.4272</v>
      </c>
      <c r="R282" t="n">
        <v>3.54144</v>
      </c>
      <c r="S282" t="n">
        <v>3.54144</v>
      </c>
      <c r="T282" t="n">
        <v>3.4272</v>
      </c>
      <c r="U282" t="n">
        <v>3.54144</v>
      </c>
      <c r="V282" t="n">
        <v>3.4272</v>
      </c>
      <c r="W282" t="n">
        <v>3.54144</v>
      </c>
      <c r="X282" t="n">
        <v>0.1782144</v>
      </c>
      <c r="Y282" t="n">
        <v>0.1782144</v>
      </c>
      <c r="Z282" t="n">
        <v>0.1782144</v>
      </c>
      <c r="AA282" t="n">
        <v>0.1782144</v>
      </c>
      <c r="AB282" t="n">
        <v>0.1782144</v>
      </c>
      <c r="AC282" t="n">
        <v>0.1782144</v>
      </c>
      <c r="AD282" t="n">
        <v>0.1782144</v>
      </c>
      <c r="AE282" t="n">
        <v>0.1782144</v>
      </c>
      <c r="AF282" t="n">
        <v>0.1782144</v>
      </c>
      <c r="AG282" t="n">
        <v>0.1782144</v>
      </c>
      <c r="AH282" t="n">
        <v>0.1782144</v>
      </c>
      <c r="AI282" t="n">
        <v>0.1782144</v>
      </c>
    </row>
    <row r="283">
      <c r="A283" t="n">
        <v>70</v>
      </c>
      <c r="B283" s="13" t="n">
        <v>46388</v>
      </c>
      <c r="C283" s="13" t="n">
        <v>2958465</v>
      </c>
      <c r="D283" s="13" t="n">
        <v>46388</v>
      </c>
      <c r="E283" t="n">
        <v>1</v>
      </c>
      <c r="G283" t="n">
        <v>28.689</v>
      </c>
      <c r="H283" t="n">
        <v>7.7814</v>
      </c>
      <c r="I283" t="n">
        <v>7.86786</v>
      </c>
      <c r="J283" t="n">
        <v>7.95432</v>
      </c>
      <c r="K283" t="n">
        <v>7.95432</v>
      </c>
      <c r="L283" t="n">
        <v>3.04575</v>
      </c>
      <c r="M283" t="n">
        <v>2.751</v>
      </c>
      <c r="N283" t="n">
        <v>3.04575</v>
      </c>
      <c r="O283" t="n">
        <v>2.9475</v>
      </c>
      <c r="P283" t="n">
        <v>3.04575</v>
      </c>
      <c r="Q283" t="n">
        <v>2.9475</v>
      </c>
      <c r="R283" t="n">
        <v>3.04575</v>
      </c>
      <c r="S283" t="n">
        <v>3.04575</v>
      </c>
      <c r="T283" t="n">
        <v>2.9475</v>
      </c>
      <c r="U283" t="n">
        <v>3.04575</v>
      </c>
      <c r="V283" t="n">
        <v>2.9475</v>
      </c>
      <c r="W283" t="n">
        <v>3.04575</v>
      </c>
      <c r="X283" t="n">
        <v>0.12576</v>
      </c>
      <c r="Y283" t="n">
        <v>0.12576</v>
      </c>
      <c r="Z283" t="n">
        <v>0.12576</v>
      </c>
      <c r="AA283" t="n">
        <v>0.12576</v>
      </c>
      <c r="AB283" t="n">
        <v>0.12576</v>
      </c>
      <c r="AC283" t="n">
        <v>0.12576</v>
      </c>
      <c r="AD283" t="n">
        <v>0.12576</v>
      </c>
      <c r="AE283" t="n">
        <v>0.12576</v>
      </c>
      <c r="AF283" t="n">
        <v>0.12576</v>
      </c>
      <c r="AG283" t="n">
        <v>0.12576</v>
      </c>
      <c r="AH283" t="n">
        <v>0.12576</v>
      </c>
      <c r="AI283" t="n">
        <v>0.12576</v>
      </c>
    </row>
    <row r="284">
      <c r="A284" t="n">
        <v>71</v>
      </c>
      <c r="B284" s="13" t="n">
        <v>44927</v>
      </c>
      <c r="C284" s="13" t="n">
        <v>45291</v>
      </c>
      <c r="D284" s="13" t="n">
        <v>44927</v>
      </c>
      <c r="E284" t="n">
        <v>0</v>
      </c>
      <c r="F284" s="13" t="n">
        <v>45291</v>
      </c>
      <c r="G284" t="n">
        <v>22.18</v>
      </c>
      <c r="H284" t="n">
        <v>7.88</v>
      </c>
      <c r="I284" t="n">
        <v>6.3</v>
      </c>
      <c r="J284" t="n">
        <v>6.15</v>
      </c>
      <c r="K284" t="n">
        <v>7.6</v>
      </c>
      <c r="L284" t="n">
        <v>3.1</v>
      </c>
      <c r="M284" t="n">
        <v>2.74</v>
      </c>
      <c r="N284" t="n">
        <v>3.05</v>
      </c>
      <c r="O284" t="n">
        <v>2.53</v>
      </c>
      <c r="P284" t="n">
        <v>2.49</v>
      </c>
      <c r="Q284" t="n">
        <v>2.22</v>
      </c>
      <c r="R284" t="n">
        <v>2.37</v>
      </c>
      <c r="S284" t="n">
        <v>2.37</v>
      </c>
      <c r="T284" t="n">
        <v>2.3</v>
      </c>
      <c r="U284" t="n">
        <v>2.71</v>
      </c>
      <c r="V284" t="n">
        <v>2.83</v>
      </c>
      <c r="W284" t="n">
        <v>3.11</v>
      </c>
      <c r="X284" t="n">
        <v>0.16</v>
      </c>
      <c r="Y284" t="n">
        <v>0.15</v>
      </c>
      <c r="Z284" t="n">
        <v>0.15</v>
      </c>
      <c r="AA284" t="n">
        <v>0.13</v>
      </c>
      <c r="AB284" t="n">
        <v>0.12</v>
      </c>
      <c r="AC284" t="n">
        <v>0.11</v>
      </c>
      <c r="AD284" t="n">
        <v>0.12</v>
      </c>
      <c r="AE284" t="n">
        <v>0.12</v>
      </c>
      <c r="AF284" t="n">
        <v>0.12</v>
      </c>
      <c r="AG284" t="n">
        <v>0.13</v>
      </c>
      <c r="AH284" t="n">
        <v>0.14</v>
      </c>
      <c r="AI284" t="n">
        <v>0.15</v>
      </c>
    </row>
    <row r="285">
      <c r="A285" t="n">
        <v>71</v>
      </c>
      <c r="B285" s="13" t="n">
        <v>45292</v>
      </c>
      <c r="C285" s="13" t="n">
        <v>45657</v>
      </c>
      <c r="D285" s="13" t="n">
        <v>45292</v>
      </c>
      <c r="E285" t="n">
        <v>0</v>
      </c>
      <c r="F285" s="13" t="n">
        <v>45657</v>
      </c>
      <c r="G285" t="n">
        <v>26.35008</v>
      </c>
      <c r="H285" t="n">
        <v>9.460039999999999</v>
      </c>
      <c r="I285" t="n">
        <v>7.686282</v>
      </c>
      <c r="J285" t="n">
        <v>7.172997</v>
      </c>
      <c r="K285" t="n">
        <v>9.032662999999999</v>
      </c>
      <c r="L285" t="n">
        <v>3.70345</v>
      </c>
      <c r="M285" t="n">
        <v>3.370644</v>
      </c>
      <c r="N285" t="n">
        <v>3.535964</v>
      </c>
      <c r="O285" t="n">
        <v>3.075379</v>
      </c>
      <c r="P285" t="n">
        <v>3.021235</v>
      </c>
      <c r="Q285" t="n">
        <v>2.642227</v>
      </c>
      <c r="R285" t="n">
        <v>2.730301</v>
      </c>
      <c r="S285" t="n">
        <v>2.730301</v>
      </c>
      <c r="T285" t="n">
        <v>2.728858</v>
      </c>
      <c r="U285" t="n">
        <v>3.222651</v>
      </c>
      <c r="V285" t="n">
        <v>3.356928</v>
      </c>
      <c r="W285" t="n">
        <v>3.759759</v>
      </c>
      <c r="X285" t="n">
        <v>0.187699</v>
      </c>
      <c r="Y285" t="n">
        <v>0.176148</v>
      </c>
      <c r="Z285" t="n">
        <v>0.173261</v>
      </c>
      <c r="AA285" t="n">
        <v>0.155935</v>
      </c>
      <c r="AB285" t="n">
        <v>0.147994</v>
      </c>
      <c r="AC285" t="n">
        <v>0.133555</v>
      </c>
      <c r="AD285" t="n">
        <v>0.133555</v>
      </c>
      <c r="AE285" t="n">
        <v>0.133555</v>
      </c>
      <c r="AF285" t="n">
        <v>0.137887</v>
      </c>
      <c r="AG285" t="n">
        <v>0.157379</v>
      </c>
      <c r="AH285" t="n">
        <v>0.169651</v>
      </c>
      <c r="AI285" t="n">
        <v>0.18409</v>
      </c>
    </row>
    <row r="286">
      <c r="A286" t="n">
        <v>71</v>
      </c>
      <c r="B286" s="13" t="n">
        <v>45658</v>
      </c>
      <c r="C286" s="13" t="n">
        <v>46022</v>
      </c>
      <c r="D286" s="13" t="n">
        <v>45658</v>
      </c>
      <c r="E286" t="n">
        <v>0</v>
      </c>
      <c r="F286" s="13" t="n">
        <v>46022</v>
      </c>
      <c r="G286" t="n">
        <v>29.05692</v>
      </c>
      <c r="H286" t="n">
        <v>10.4604912</v>
      </c>
      <c r="I286" t="n">
        <v>8.475863800000001</v>
      </c>
      <c r="J286" t="n">
        <v>7.6901328</v>
      </c>
      <c r="K286" t="n">
        <v>9.887313600000001</v>
      </c>
      <c r="L286" t="n">
        <v>4.318734</v>
      </c>
      <c r="M286" t="n">
        <v>3.6778896</v>
      </c>
      <c r="N286" t="n">
        <v>3.9485568</v>
      </c>
      <c r="O286" t="n">
        <v>3.462948</v>
      </c>
      <c r="P286" t="n">
        <v>3.2822378</v>
      </c>
      <c r="Q286" t="n">
        <v>2.9375352</v>
      </c>
      <c r="R286" t="n">
        <v>2.9614176</v>
      </c>
      <c r="S286" t="n">
        <v>2.8873822</v>
      </c>
      <c r="T286" t="n">
        <v>2.9136528</v>
      </c>
      <c r="U286" t="n">
        <v>3.3562733</v>
      </c>
      <c r="V286" t="n">
        <v>3.6778896</v>
      </c>
      <c r="W286" t="n">
        <v>4.2200201</v>
      </c>
      <c r="X286" t="n">
        <v>0.2117573</v>
      </c>
      <c r="Y286" t="n">
        <v>0.1998161</v>
      </c>
      <c r="Z286" t="n">
        <v>0.1926514</v>
      </c>
      <c r="AA286" t="n">
        <v>0.1751376</v>
      </c>
      <c r="AB286" t="n">
        <v>0.1608082</v>
      </c>
      <c r="AC286" t="n">
        <v>0.148867</v>
      </c>
      <c r="AD286" t="n">
        <v>0.1456826</v>
      </c>
      <c r="AE286" t="n">
        <v>0.1417022</v>
      </c>
      <c r="AF286" t="n">
        <v>0.1472748</v>
      </c>
      <c r="AG286" t="n">
        <v>0.1647886</v>
      </c>
      <c r="AH286" t="n">
        <v>0.1854866</v>
      </c>
      <c r="AI286" t="n">
        <v>0.2069808</v>
      </c>
    </row>
    <row r="287">
      <c r="A287" t="n">
        <v>71</v>
      </c>
      <c r="B287" s="13" t="n">
        <v>46023</v>
      </c>
      <c r="C287" s="13" t="n">
        <v>46387</v>
      </c>
      <c r="D287" s="13" t="n">
        <v>46023</v>
      </c>
      <c r="E287" t="n">
        <v>0</v>
      </c>
      <c r="F287" s="13" t="n">
        <v>46387</v>
      </c>
      <c r="G287" t="n">
        <v>33.35808</v>
      </c>
      <c r="H287" t="n">
        <v>9.047808</v>
      </c>
      <c r="I287" t="n">
        <v>9.148339200000001</v>
      </c>
      <c r="J287" t="n">
        <v>9.248870399999999</v>
      </c>
      <c r="K287" t="n">
        <v>9.248870399999999</v>
      </c>
      <c r="L287" t="n">
        <v>3.54144</v>
      </c>
      <c r="M287" t="n">
        <v>3.19872</v>
      </c>
      <c r="N287" t="n">
        <v>3.54144</v>
      </c>
      <c r="O287" t="n">
        <v>3.4272</v>
      </c>
      <c r="P287" t="n">
        <v>3.54144</v>
      </c>
      <c r="Q287" t="n">
        <v>3.4272</v>
      </c>
      <c r="R287" t="n">
        <v>3.54144</v>
      </c>
      <c r="S287" t="n">
        <v>3.54144</v>
      </c>
      <c r="T287" t="n">
        <v>3.4272</v>
      </c>
      <c r="U287" t="n">
        <v>3.54144</v>
      </c>
      <c r="V287" t="n">
        <v>3.4272</v>
      </c>
      <c r="W287" t="n">
        <v>3.54144</v>
      </c>
      <c r="X287" t="n">
        <v>0.1782144</v>
      </c>
      <c r="Y287" t="n">
        <v>0.1782144</v>
      </c>
      <c r="Z287" t="n">
        <v>0.1782144</v>
      </c>
      <c r="AA287" t="n">
        <v>0.1782144</v>
      </c>
      <c r="AB287" t="n">
        <v>0.1782144</v>
      </c>
      <c r="AC287" t="n">
        <v>0.1782144</v>
      </c>
      <c r="AD287" t="n">
        <v>0.1782144</v>
      </c>
      <c r="AE287" t="n">
        <v>0.1782144</v>
      </c>
      <c r="AF287" t="n">
        <v>0.1782144</v>
      </c>
      <c r="AG287" t="n">
        <v>0.1782144</v>
      </c>
      <c r="AH287" t="n">
        <v>0.1782144</v>
      </c>
      <c r="AI287" t="n">
        <v>0.1782144</v>
      </c>
    </row>
    <row r="288">
      <c r="A288" t="n">
        <v>71</v>
      </c>
      <c r="B288" s="13" t="n">
        <v>46388</v>
      </c>
      <c r="C288" s="13" t="n">
        <v>2958465</v>
      </c>
      <c r="D288" s="13" t="n">
        <v>46388</v>
      </c>
      <c r="E288" t="n">
        <v>1</v>
      </c>
      <c r="G288" t="n">
        <v>28.689</v>
      </c>
      <c r="H288" t="n">
        <v>7.7814</v>
      </c>
      <c r="I288" t="n">
        <v>7.86786</v>
      </c>
      <c r="J288" t="n">
        <v>7.95432</v>
      </c>
      <c r="K288" t="n">
        <v>7.95432</v>
      </c>
      <c r="L288" t="n">
        <v>3.04575</v>
      </c>
      <c r="M288" t="n">
        <v>2.751</v>
      </c>
      <c r="N288" t="n">
        <v>3.04575</v>
      </c>
      <c r="O288" t="n">
        <v>2.9475</v>
      </c>
      <c r="P288" t="n">
        <v>3.04575</v>
      </c>
      <c r="Q288" t="n">
        <v>2.9475</v>
      </c>
      <c r="R288" t="n">
        <v>3.04575</v>
      </c>
      <c r="S288" t="n">
        <v>3.04575</v>
      </c>
      <c r="T288" t="n">
        <v>2.9475</v>
      </c>
      <c r="U288" t="n">
        <v>3.04575</v>
      </c>
      <c r="V288" t="n">
        <v>2.9475</v>
      </c>
      <c r="W288" t="n">
        <v>3.04575</v>
      </c>
      <c r="X288" t="n">
        <v>0.12576</v>
      </c>
      <c r="Y288" t="n">
        <v>0.12576</v>
      </c>
      <c r="Z288" t="n">
        <v>0.12576</v>
      </c>
      <c r="AA288" t="n">
        <v>0.12576</v>
      </c>
      <c r="AB288" t="n">
        <v>0.12576</v>
      </c>
      <c r="AC288" t="n">
        <v>0.12576</v>
      </c>
      <c r="AD288" t="n">
        <v>0.12576</v>
      </c>
      <c r="AE288" t="n">
        <v>0.12576</v>
      </c>
      <c r="AF288" t="n">
        <v>0.12576</v>
      </c>
      <c r="AG288" t="n">
        <v>0.12576</v>
      </c>
      <c r="AH288" t="n">
        <v>0.12576</v>
      </c>
      <c r="AI288" t="n">
        <v>0.12576</v>
      </c>
    </row>
    <row r="289">
      <c r="A289" t="n">
        <v>72</v>
      </c>
      <c r="B289" s="13" t="n">
        <v>44927</v>
      </c>
      <c r="C289" s="13" t="n">
        <v>45291</v>
      </c>
      <c r="D289" s="13" t="n">
        <v>44927</v>
      </c>
      <c r="E289" t="n">
        <v>0</v>
      </c>
      <c r="F289" s="13" t="n">
        <v>45291</v>
      </c>
      <c r="G289" t="n">
        <v>22.18</v>
      </c>
      <c r="H289" t="n">
        <v>7.88</v>
      </c>
      <c r="I289" t="n">
        <v>6.3</v>
      </c>
      <c r="J289" t="n">
        <v>6.15</v>
      </c>
      <c r="K289" t="n">
        <v>7.6</v>
      </c>
      <c r="L289" t="n">
        <v>3.1</v>
      </c>
      <c r="M289" t="n">
        <v>2.74</v>
      </c>
      <c r="N289" t="n">
        <v>3.05</v>
      </c>
      <c r="O289" t="n">
        <v>2.53</v>
      </c>
      <c r="P289" t="n">
        <v>2.49</v>
      </c>
      <c r="Q289" t="n">
        <v>2.22</v>
      </c>
      <c r="R289" t="n">
        <v>2.37</v>
      </c>
      <c r="S289" t="n">
        <v>2.37</v>
      </c>
      <c r="T289" t="n">
        <v>2.3</v>
      </c>
      <c r="U289" t="n">
        <v>2.71</v>
      </c>
      <c r="V289" t="n">
        <v>2.83</v>
      </c>
      <c r="W289" t="n">
        <v>3.11</v>
      </c>
      <c r="X289" t="n">
        <v>0.16</v>
      </c>
      <c r="Y289" t="n">
        <v>0.15</v>
      </c>
      <c r="Z289" t="n">
        <v>0.15</v>
      </c>
      <c r="AA289" t="n">
        <v>0.13</v>
      </c>
      <c r="AB289" t="n">
        <v>0.12</v>
      </c>
      <c r="AC289" t="n">
        <v>0.11</v>
      </c>
      <c r="AD289" t="n">
        <v>0.12</v>
      </c>
      <c r="AE289" t="n">
        <v>0.12</v>
      </c>
      <c r="AF289" t="n">
        <v>0.12</v>
      </c>
      <c r="AG289" t="n">
        <v>0.13</v>
      </c>
      <c r="AH289" t="n">
        <v>0.14</v>
      </c>
      <c r="AI289" t="n">
        <v>0.15</v>
      </c>
    </row>
    <row r="290">
      <c r="A290" t="n">
        <v>72</v>
      </c>
      <c r="B290" s="13" t="n">
        <v>45292</v>
      </c>
      <c r="C290" s="13" t="n">
        <v>45657</v>
      </c>
      <c r="D290" s="13" t="n">
        <v>45292</v>
      </c>
      <c r="E290" t="n">
        <v>0</v>
      </c>
      <c r="F290" s="13" t="n">
        <v>45657</v>
      </c>
      <c r="G290" t="n">
        <v>26.35008</v>
      </c>
      <c r="H290" t="n">
        <v>9.460039999999999</v>
      </c>
      <c r="I290" t="n">
        <v>7.686282</v>
      </c>
      <c r="J290" t="n">
        <v>7.172997</v>
      </c>
      <c r="K290" t="n">
        <v>9.032662999999999</v>
      </c>
      <c r="L290" t="n">
        <v>3.70345</v>
      </c>
      <c r="M290" t="n">
        <v>3.370644</v>
      </c>
      <c r="N290" t="n">
        <v>3.535964</v>
      </c>
      <c r="O290" t="n">
        <v>3.075379</v>
      </c>
      <c r="P290" t="n">
        <v>3.021235</v>
      </c>
      <c r="Q290" t="n">
        <v>2.642227</v>
      </c>
      <c r="R290" t="n">
        <v>2.730301</v>
      </c>
      <c r="S290" t="n">
        <v>2.730301</v>
      </c>
      <c r="T290" t="n">
        <v>2.728858</v>
      </c>
      <c r="U290" t="n">
        <v>3.222651</v>
      </c>
      <c r="V290" t="n">
        <v>3.356928</v>
      </c>
      <c r="W290" t="n">
        <v>3.759759</v>
      </c>
      <c r="X290" t="n">
        <v>0.187699</v>
      </c>
      <c r="Y290" t="n">
        <v>0.176148</v>
      </c>
      <c r="Z290" t="n">
        <v>0.173261</v>
      </c>
      <c r="AA290" t="n">
        <v>0.155935</v>
      </c>
      <c r="AB290" t="n">
        <v>0.147994</v>
      </c>
      <c r="AC290" t="n">
        <v>0.133555</v>
      </c>
      <c r="AD290" t="n">
        <v>0.133555</v>
      </c>
      <c r="AE290" t="n">
        <v>0.133555</v>
      </c>
      <c r="AF290" t="n">
        <v>0.137887</v>
      </c>
      <c r="AG290" t="n">
        <v>0.157379</v>
      </c>
      <c r="AH290" t="n">
        <v>0.169651</v>
      </c>
      <c r="AI290" t="n">
        <v>0.18409</v>
      </c>
    </row>
    <row r="291">
      <c r="A291" t="n">
        <v>72</v>
      </c>
      <c r="B291" s="13" t="n">
        <v>45658</v>
      </c>
      <c r="C291" s="13" t="n">
        <v>46022</v>
      </c>
      <c r="D291" s="13" t="n">
        <v>45658</v>
      </c>
      <c r="E291" t="n">
        <v>0</v>
      </c>
      <c r="F291" s="13" t="n">
        <v>46022</v>
      </c>
      <c r="G291" t="n">
        <v>29.05692</v>
      </c>
      <c r="H291" t="n">
        <v>10.4604912</v>
      </c>
      <c r="I291" t="n">
        <v>8.475863800000001</v>
      </c>
      <c r="J291" t="n">
        <v>7.6901328</v>
      </c>
      <c r="K291" t="n">
        <v>9.887313600000001</v>
      </c>
      <c r="L291" t="n">
        <v>4.318734</v>
      </c>
      <c r="M291" t="n">
        <v>3.6778896</v>
      </c>
      <c r="N291" t="n">
        <v>3.9485568</v>
      </c>
      <c r="O291" t="n">
        <v>3.462948</v>
      </c>
      <c r="P291" t="n">
        <v>3.2822378</v>
      </c>
      <c r="Q291" t="n">
        <v>2.9375352</v>
      </c>
      <c r="R291" t="n">
        <v>2.9614176</v>
      </c>
      <c r="S291" t="n">
        <v>2.8873822</v>
      </c>
      <c r="T291" t="n">
        <v>2.9136528</v>
      </c>
      <c r="U291" t="n">
        <v>3.3562733</v>
      </c>
      <c r="V291" t="n">
        <v>3.6778896</v>
      </c>
      <c r="W291" t="n">
        <v>4.2200201</v>
      </c>
      <c r="X291" t="n">
        <v>0.2117573</v>
      </c>
      <c r="Y291" t="n">
        <v>0.1998161</v>
      </c>
      <c r="Z291" t="n">
        <v>0.1926514</v>
      </c>
      <c r="AA291" t="n">
        <v>0.1751376</v>
      </c>
      <c r="AB291" t="n">
        <v>0.1608082</v>
      </c>
      <c r="AC291" t="n">
        <v>0.148867</v>
      </c>
      <c r="AD291" t="n">
        <v>0.1456826</v>
      </c>
      <c r="AE291" t="n">
        <v>0.1417022</v>
      </c>
      <c r="AF291" t="n">
        <v>0.1472748</v>
      </c>
      <c r="AG291" t="n">
        <v>0.1647886</v>
      </c>
      <c r="AH291" t="n">
        <v>0.1854866</v>
      </c>
      <c r="AI291" t="n">
        <v>0.2069808</v>
      </c>
    </row>
    <row r="292">
      <c r="A292" t="n">
        <v>72</v>
      </c>
      <c r="B292" s="13" t="n">
        <v>46023</v>
      </c>
      <c r="C292" s="13" t="n">
        <v>46387</v>
      </c>
      <c r="D292" s="13" t="n">
        <v>46023</v>
      </c>
      <c r="E292" t="n">
        <v>0</v>
      </c>
      <c r="F292" s="13" t="n">
        <v>46387</v>
      </c>
      <c r="G292" t="n">
        <v>33.35808</v>
      </c>
      <c r="H292" t="n">
        <v>9.047808</v>
      </c>
      <c r="I292" t="n">
        <v>9.148339200000001</v>
      </c>
      <c r="J292" t="n">
        <v>9.248870399999999</v>
      </c>
      <c r="K292" t="n">
        <v>9.248870399999999</v>
      </c>
      <c r="L292" t="n">
        <v>3.54144</v>
      </c>
      <c r="M292" t="n">
        <v>3.19872</v>
      </c>
      <c r="N292" t="n">
        <v>3.54144</v>
      </c>
      <c r="O292" t="n">
        <v>3.4272</v>
      </c>
      <c r="P292" t="n">
        <v>3.54144</v>
      </c>
      <c r="Q292" t="n">
        <v>3.4272</v>
      </c>
      <c r="R292" t="n">
        <v>3.54144</v>
      </c>
      <c r="S292" t="n">
        <v>3.54144</v>
      </c>
      <c r="T292" t="n">
        <v>3.4272</v>
      </c>
      <c r="U292" t="n">
        <v>3.54144</v>
      </c>
      <c r="V292" t="n">
        <v>3.4272</v>
      </c>
      <c r="W292" t="n">
        <v>3.54144</v>
      </c>
      <c r="X292" t="n">
        <v>0.1782144</v>
      </c>
      <c r="Y292" t="n">
        <v>0.1782144</v>
      </c>
      <c r="Z292" t="n">
        <v>0.1782144</v>
      </c>
      <c r="AA292" t="n">
        <v>0.1782144</v>
      </c>
      <c r="AB292" t="n">
        <v>0.1782144</v>
      </c>
      <c r="AC292" t="n">
        <v>0.1782144</v>
      </c>
      <c r="AD292" t="n">
        <v>0.1782144</v>
      </c>
      <c r="AE292" t="n">
        <v>0.1782144</v>
      </c>
      <c r="AF292" t="n">
        <v>0.1782144</v>
      </c>
      <c r="AG292" t="n">
        <v>0.1782144</v>
      </c>
      <c r="AH292" t="n">
        <v>0.1782144</v>
      </c>
      <c r="AI292" t="n">
        <v>0.1782144</v>
      </c>
    </row>
    <row r="293">
      <c r="A293" t="n">
        <v>72</v>
      </c>
      <c r="B293" s="13" t="n">
        <v>46388</v>
      </c>
      <c r="C293" s="13" t="n">
        <v>2958465</v>
      </c>
      <c r="D293" s="13" t="n">
        <v>46388</v>
      </c>
      <c r="E293" t="n">
        <v>1</v>
      </c>
      <c r="G293" t="n">
        <v>28.689</v>
      </c>
      <c r="H293" t="n">
        <v>7.7814</v>
      </c>
      <c r="I293" t="n">
        <v>7.86786</v>
      </c>
      <c r="J293" t="n">
        <v>7.95432</v>
      </c>
      <c r="K293" t="n">
        <v>7.95432</v>
      </c>
      <c r="L293" t="n">
        <v>3.04575</v>
      </c>
      <c r="M293" t="n">
        <v>2.751</v>
      </c>
      <c r="N293" t="n">
        <v>3.04575</v>
      </c>
      <c r="O293" t="n">
        <v>2.9475</v>
      </c>
      <c r="P293" t="n">
        <v>3.04575</v>
      </c>
      <c r="Q293" t="n">
        <v>2.9475</v>
      </c>
      <c r="R293" t="n">
        <v>3.04575</v>
      </c>
      <c r="S293" t="n">
        <v>3.04575</v>
      </c>
      <c r="T293" t="n">
        <v>2.9475</v>
      </c>
      <c r="U293" t="n">
        <v>3.04575</v>
      </c>
      <c r="V293" t="n">
        <v>2.9475</v>
      </c>
      <c r="W293" t="n">
        <v>3.04575</v>
      </c>
      <c r="X293" t="n">
        <v>0.12576</v>
      </c>
      <c r="Y293" t="n">
        <v>0.12576</v>
      </c>
      <c r="Z293" t="n">
        <v>0.12576</v>
      </c>
      <c r="AA293" t="n">
        <v>0.12576</v>
      </c>
      <c r="AB293" t="n">
        <v>0.12576</v>
      </c>
      <c r="AC293" t="n">
        <v>0.12576</v>
      </c>
      <c r="AD293" t="n">
        <v>0.12576</v>
      </c>
      <c r="AE293" t="n">
        <v>0.12576</v>
      </c>
      <c r="AF293" t="n">
        <v>0.12576</v>
      </c>
      <c r="AG293" t="n">
        <v>0.12576</v>
      </c>
      <c r="AH293" t="n">
        <v>0.12576</v>
      </c>
      <c r="AI293" t="n">
        <v>0.12576</v>
      </c>
    </row>
    <row r="294">
      <c r="A294" t="n">
        <v>73</v>
      </c>
      <c r="B294" s="13" t="n">
        <v>44835</v>
      </c>
      <c r="C294" s="13" t="n">
        <v>45657</v>
      </c>
      <c r="D294" s="13" t="n">
        <v>44835</v>
      </c>
      <c r="E294" t="n">
        <v>0</v>
      </c>
      <c r="F294" s="13" t="n">
        <v>45657</v>
      </c>
      <c r="G294" t="n">
        <v>0.00028</v>
      </c>
      <c r="H294" t="n">
        <v>0.00031</v>
      </c>
      <c r="I294" t="n">
        <v>0.00031</v>
      </c>
      <c r="J294" t="n">
        <v>0.00031</v>
      </c>
      <c r="K294" t="n">
        <v>0.00031</v>
      </c>
      <c r="L294" t="n">
        <v>0.00034</v>
      </c>
      <c r="M294" t="n">
        <v>0.00034</v>
      </c>
      <c r="N294" t="n">
        <v>0.00034</v>
      </c>
      <c r="O294" t="n">
        <v>0.00034</v>
      </c>
      <c r="P294" t="n">
        <v>0.00034</v>
      </c>
      <c r="Q294" t="n">
        <v>0.00034</v>
      </c>
      <c r="R294" t="n">
        <v>0.00034</v>
      </c>
      <c r="S294" t="n">
        <v>0.00034</v>
      </c>
      <c r="T294" t="n">
        <v>0.00034</v>
      </c>
      <c r="U294" t="n">
        <v>0.00034</v>
      </c>
      <c r="V294" t="n">
        <v>0.00034</v>
      </c>
      <c r="W294" t="n">
        <v>0.00034</v>
      </c>
      <c r="X294" t="n">
        <v>0.00037</v>
      </c>
      <c r="Y294" t="n">
        <v>0.00037</v>
      </c>
      <c r="Z294" t="n">
        <v>0.00037</v>
      </c>
      <c r="AA294" t="n">
        <v>0.00037</v>
      </c>
      <c r="AB294" t="n">
        <v>0.00037</v>
      </c>
      <c r="AC294" t="n">
        <v>0.00037</v>
      </c>
      <c r="AD294" t="n">
        <v>0.00037</v>
      </c>
      <c r="AE294" t="n">
        <v>0.00037</v>
      </c>
      <c r="AF294" t="n">
        <v>0.00037</v>
      </c>
      <c r="AG294" t="n">
        <v>0.00037</v>
      </c>
      <c r="AH294" t="n">
        <v>0.00037</v>
      </c>
      <c r="AI294" t="n">
        <v>0.00037</v>
      </c>
    </row>
    <row r="295">
      <c r="A295" t="n">
        <v>73</v>
      </c>
      <c r="B295" s="13" t="n">
        <v>45658</v>
      </c>
      <c r="C295" s="13" t="n">
        <v>46022</v>
      </c>
      <c r="D295" s="13" t="n">
        <v>45658</v>
      </c>
      <c r="E295" t="n">
        <v>0</v>
      </c>
      <c r="F295" s="13" t="n">
        <v>46022</v>
      </c>
      <c r="G295" t="n">
        <v>0.000282</v>
      </c>
      <c r="H295" t="n">
        <v>0.000314</v>
      </c>
      <c r="I295" t="n">
        <v>0.000311</v>
      </c>
      <c r="J295" t="n">
        <v>0.000308</v>
      </c>
      <c r="K295" t="n">
        <v>0.000308</v>
      </c>
      <c r="L295" t="n">
        <v>0.000332</v>
      </c>
      <c r="M295" t="n">
        <v>0.000368</v>
      </c>
      <c r="N295" t="n">
        <v>0.000332</v>
      </c>
      <c r="O295" t="n">
        <v>0.000343</v>
      </c>
      <c r="P295" t="n">
        <v>0.000332</v>
      </c>
      <c r="Q295" t="n">
        <v>0.000343</v>
      </c>
      <c r="R295" t="n">
        <v>0.000332</v>
      </c>
      <c r="S295" t="n">
        <v>0.000332</v>
      </c>
      <c r="T295" t="n">
        <v>0.000343</v>
      </c>
      <c r="U295" t="n">
        <v>0.000332</v>
      </c>
      <c r="V295" t="n">
        <v>0.000343</v>
      </c>
      <c r="W295" t="n">
        <v>0.000332</v>
      </c>
      <c r="X295" t="n">
        <v>0.00037</v>
      </c>
      <c r="Y295" t="n">
        <v>0.00037</v>
      </c>
      <c r="Z295" t="n">
        <v>0.00037</v>
      </c>
      <c r="AA295" t="n">
        <v>0.00037</v>
      </c>
      <c r="AB295" t="n">
        <v>0.00037</v>
      </c>
      <c r="AC295" t="n">
        <v>0.00037</v>
      </c>
      <c r="AD295" t="n">
        <v>0.00037</v>
      </c>
      <c r="AE295" t="n">
        <v>0.00037</v>
      </c>
      <c r="AF295" t="n">
        <v>0.00037</v>
      </c>
      <c r="AG295" t="n">
        <v>0.00037</v>
      </c>
      <c r="AH295" t="n">
        <v>0.00037</v>
      </c>
      <c r="AI295" t="n">
        <v>0.00037</v>
      </c>
    </row>
    <row r="296">
      <c r="A296" t="n">
        <v>73</v>
      </c>
      <c r="B296" s="13" t="n">
        <v>46023</v>
      </c>
      <c r="C296" s="13" t="n">
        <v>2958465</v>
      </c>
      <c r="D296" s="13" t="n">
        <v>46023</v>
      </c>
      <c r="E296" t="n">
        <v>1</v>
      </c>
      <c r="G296" t="n">
        <v>0.000282</v>
      </c>
      <c r="H296" t="n">
        <v>0.000314</v>
      </c>
      <c r="I296" t="n">
        <v>0.000311</v>
      </c>
      <c r="J296" t="n">
        <v>0.000308</v>
      </c>
      <c r="K296" t="n">
        <v>0.000308</v>
      </c>
      <c r="L296" t="n">
        <v>0.000332</v>
      </c>
      <c r="M296" t="n">
        <v>0.000368</v>
      </c>
      <c r="N296" t="n">
        <v>0.000332</v>
      </c>
      <c r="O296" t="n">
        <v>0.000343</v>
      </c>
      <c r="P296" t="n">
        <v>0.000332</v>
      </c>
      <c r="Q296" t="n">
        <v>0.000343</v>
      </c>
      <c r="R296" t="n">
        <v>0.000332</v>
      </c>
      <c r="S296" t="n">
        <v>0.000332</v>
      </c>
      <c r="T296" t="n">
        <v>0.000343</v>
      </c>
      <c r="U296" t="n">
        <v>0.000332</v>
      </c>
      <c r="V296" t="n">
        <v>0.000343</v>
      </c>
      <c r="W296" t="n">
        <v>0.000332</v>
      </c>
      <c r="X296" t="n">
        <v>0.00037</v>
      </c>
      <c r="Y296" t="n">
        <v>0.00037</v>
      </c>
      <c r="Z296" t="n">
        <v>0.00037</v>
      </c>
      <c r="AA296" t="n">
        <v>0.00037</v>
      </c>
      <c r="AB296" t="n">
        <v>0.00037</v>
      </c>
      <c r="AC296" t="n">
        <v>0.00037</v>
      </c>
      <c r="AD296" t="n">
        <v>0.00037</v>
      </c>
      <c r="AE296" t="n">
        <v>0.00037</v>
      </c>
      <c r="AF296" t="n">
        <v>0.00037</v>
      </c>
      <c r="AG296" t="n">
        <v>0.00037</v>
      </c>
      <c r="AH296" t="n">
        <v>0.00037</v>
      </c>
      <c r="AI296" t="n">
        <v>0.00037</v>
      </c>
    </row>
    <row r="297">
      <c r="A297" t="n">
        <v>74</v>
      </c>
      <c r="B297" s="13" t="n">
        <v>44835</v>
      </c>
      <c r="C297" s="13" t="n">
        <v>45657</v>
      </c>
      <c r="D297" s="13" t="n">
        <v>44835</v>
      </c>
      <c r="E297" t="n">
        <v>0</v>
      </c>
      <c r="F297" s="13" t="n">
        <v>45657</v>
      </c>
      <c r="G297" t="n">
        <v>0.00138</v>
      </c>
      <c r="H297" t="n">
        <v>0.00151</v>
      </c>
      <c r="I297" t="n">
        <v>0.00151</v>
      </c>
      <c r="J297" t="n">
        <v>0.00151</v>
      </c>
      <c r="K297" t="n">
        <v>0.00151</v>
      </c>
      <c r="L297" t="n">
        <v>0.00165</v>
      </c>
      <c r="M297" t="n">
        <v>0.00165</v>
      </c>
      <c r="N297" t="n">
        <v>0.00165</v>
      </c>
      <c r="O297" t="n">
        <v>0.00165</v>
      </c>
      <c r="P297" t="n">
        <v>0.00165</v>
      </c>
      <c r="Q297" t="n">
        <v>0.00165</v>
      </c>
      <c r="R297" t="n">
        <v>0.00165</v>
      </c>
      <c r="S297" t="n">
        <v>0.00165</v>
      </c>
      <c r="T297" t="n">
        <v>0.00165</v>
      </c>
      <c r="U297" t="n">
        <v>0.00165</v>
      </c>
      <c r="V297" t="n">
        <v>0.00165</v>
      </c>
      <c r="W297" t="n">
        <v>0.00165</v>
      </c>
      <c r="X297" t="n">
        <v>0.00037</v>
      </c>
      <c r="Y297" t="n">
        <v>0.00037</v>
      </c>
      <c r="Z297" t="n">
        <v>0.00037</v>
      </c>
      <c r="AA297" t="n">
        <v>0.00037</v>
      </c>
      <c r="AB297" t="n">
        <v>0.00037</v>
      </c>
      <c r="AC297" t="n">
        <v>0.00037</v>
      </c>
      <c r="AD297" t="n">
        <v>0.00037</v>
      </c>
      <c r="AE297" t="n">
        <v>0.00037</v>
      </c>
      <c r="AF297" t="n">
        <v>0.00037</v>
      </c>
      <c r="AG297" t="n">
        <v>0.00037</v>
      </c>
      <c r="AH297" t="n">
        <v>0.00037</v>
      </c>
      <c r="AI297" t="n">
        <v>0.00037</v>
      </c>
    </row>
    <row r="298">
      <c r="A298" t="n">
        <v>74</v>
      </c>
      <c r="B298" s="13" t="n">
        <v>45658</v>
      </c>
      <c r="C298" s="13" t="n">
        <v>46022</v>
      </c>
      <c r="D298" s="13" t="n">
        <v>45658</v>
      </c>
      <c r="E298" t="n">
        <v>0</v>
      </c>
      <c r="F298" s="13" t="n">
        <v>46022</v>
      </c>
      <c r="G298" t="n">
        <v>0.001377</v>
      </c>
      <c r="H298" t="n">
        <v>0.001536</v>
      </c>
      <c r="I298" t="n">
        <v>0.001519</v>
      </c>
      <c r="J298" t="n">
        <v>0.001502</v>
      </c>
      <c r="K298" t="n">
        <v>0.001502</v>
      </c>
      <c r="L298" t="n">
        <v>0.001621</v>
      </c>
      <c r="M298" t="n">
        <v>0.001795</v>
      </c>
      <c r="N298" t="n">
        <v>0.001621</v>
      </c>
      <c r="O298" t="n">
        <v>0.001675</v>
      </c>
      <c r="P298" t="n">
        <v>0.001621</v>
      </c>
      <c r="Q298" t="n">
        <v>0.001675</v>
      </c>
      <c r="R298" t="n">
        <v>0.001621</v>
      </c>
      <c r="S298" t="n">
        <v>0.001621</v>
      </c>
      <c r="T298" t="n">
        <v>0.001675</v>
      </c>
      <c r="U298" t="n">
        <v>0.001621</v>
      </c>
      <c r="V298" t="n">
        <v>0.001675</v>
      </c>
      <c r="W298" t="n">
        <v>0.001621</v>
      </c>
      <c r="X298" t="n">
        <v>0.00037</v>
      </c>
      <c r="Y298" t="n">
        <v>0.00037</v>
      </c>
      <c r="Z298" t="n">
        <v>0.00037</v>
      </c>
      <c r="AA298" t="n">
        <v>0.00037</v>
      </c>
      <c r="AB298" t="n">
        <v>0.00037</v>
      </c>
      <c r="AC298" t="n">
        <v>0.00037</v>
      </c>
      <c r="AD298" t="n">
        <v>0.00037</v>
      </c>
      <c r="AE298" t="n">
        <v>0.00037</v>
      </c>
      <c r="AF298" t="n">
        <v>0.00037</v>
      </c>
      <c r="AG298" t="n">
        <v>0.00037</v>
      </c>
      <c r="AH298" t="n">
        <v>0.00037</v>
      </c>
      <c r="AI298" t="n">
        <v>0.00037</v>
      </c>
    </row>
    <row r="299">
      <c r="A299" t="n">
        <v>74</v>
      </c>
      <c r="B299" s="13" t="n">
        <v>46023</v>
      </c>
      <c r="C299" s="13" t="n">
        <v>2958465</v>
      </c>
      <c r="D299" s="13" t="n">
        <v>46023</v>
      </c>
      <c r="E299" t="n">
        <v>1</v>
      </c>
      <c r="G299" t="n">
        <v>0.001377</v>
      </c>
      <c r="H299" t="n">
        <v>0.001536</v>
      </c>
      <c r="I299" t="n">
        <v>0.001519</v>
      </c>
      <c r="J299" t="n">
        <v>0.001502</v>
      </c>
      <c r="K299" t="n">
        <v>0.001502</v>
      </c>
      <c r="L299" t="n">
        <v>0.001621</v>
      </c>
      <c r="M299" t="n">
        <v>0.001795</v>
      </c>
      <c r="N299" t="n">
        <v>0.001621</v>
      </c>
      <c r="O299" t="n">
        <v>0.001675</v>
      </c>
      <c r="P299" t="n">
        <v>0.001621</v>
      </c>
      <c r="Q299" t="n">
        <v>0.001675</v>
      </c>
      <c r="R299" t="n">
        <v>0.001621</v>
      </c>
      <c r="S299" t="n">
        <v>0.001621</v>
      </c>
      <c r="T299" t="n">
        <v>0.001675</v>
      </c>
      <c r="U299" t="n">
        <v>0.001621</v>
      </c>
      <c r="V299" t="n">
        <v>0.001675</v>
      </c>
      <c r="W299" t="n">
        <v>0.001621</v>
      </c>
      <c r="X299" t="n">
        <v>0.00037</v>
      </c>
      <c r="Y299" t="n">
        <v>0.00037</v>
      </c>
      <c r="Z299" t="n">
        <v>0.00037</v>
      </c>
      <c r="AA299" t="n">
        <v>0.00037</v>
      </c>
      <c r="AB299" t="n">
        <v>0.00037</v>
      </c>
      <c r="AC299" t="n">
        <v>0.00037</v>
      </c>
      <c r="AD299" t="n">
        <v>0.00037</v>
      </c>
      <c r="AE299" t="n">
        <v>0.00037</v>
      </c>
      <c r="AF299" t="n">
        <v>0.00037</v>
      </c>
      <c r="AG299" t="n">
        <v>0.00037</v>
      </c>
      <c r="AH299" t="n">
        <v>0.00037</v>
      </c>
      <c r="AI299" t="n">
        <v>0.00037</v>
      </c>
    </row>
    <row r="300">
      <c r="A300" t="n">
        <v>75</v>
      </c>
      <c r="B300" s="13" t="n">
        <v>44562</v>
      </c>
      <c r="C300" s="13" t="n">
        <v>44926</v>
      </c>
      <c r="D300" s="13" t="n">
        <v>44562</v>
      </c>
      <c r="E300" t="n">
        <v>0</v>
      </c>
      <c r="F300" s="13" t="n">
        <v>44926</v>
      </c>
      <c r="G300" t="n">
        <v>5.40552</v>
      </c>
      <c r="H300" t="n">
        <v>1.46592</v>
      </c>
      <c r="I300" t="n">
        <v>1.48224</v>
      </c>
      <c r="J300" t="n">
        <v>1.49856</v>
      </c>
      <c r="K300" t="n">
        <v>1.49856</v>
      </c>
      <c r="L300" t="n">
        <v>0.57384</v>
      </c>
      <c r="M300" t="n">
        <v>0.51816</v>
      </c>
      <c r="N300" t="n">
        <v>0.57384</v>
      </c>
      <c r="O300" t="n">
        <v>0.55536</v>
      </c>
      <c r="P300" t="n">
        <v>0.57384</v>
      </c>
      <c r="Q300" t="n">
        <v>0.55536</v>
      </c>
      <c r="R300" t="n">
        <v>0.57384</v>
      </c>
      <c r="S300" t="n">
        <v>0.57384</v>
      </c>
      <c r="T300" t="n">
        <v>0.55536</v>
      </c>
      <c r="U300" t="n">
        <v>0.57384</v>
      </c>
      <c r="V300" t="n">
        <v>0.55536</v>
      </c>
      <c r="W300" t="n">
        <v>0.57384</v>
      </c>
      <c r="X300" t="n">
        <v>0.02208</v>
      </c>
      <c r="Y300" t="n">
        <v>0.02208</v>
      </c>
      <c r="Z300" t="n">
        <v>0.02208</v>
      </c>
      <c r="AA300" t="n">
        <v>0.02208</v>
      </c>
      <c r="AB300" t="n">
        <v>0.02208</v>
      </c>
      <c r="AC300" t="n">
        <v>0.02208</v>
      </c>
      <c r="AD300" t="n">
        <v>0.02208</v>
      </c>
      <c r="AE300" t="n">
        <v>0.02208</v>
      </c>
      <c r="AF300" t="n">
        <v>0.02208</v>
      </c>
      <c r="AG300" t="n">
        <v>0.02208</v>
      </c>
      <c r="AH300" t="n">
        <v>0.02208</v>
      </c>
      <c r="AI300" t="n">
        <v>0.02208</v>
      </c>
    </row>
    <row r="301">
      <c r="A301" t="n">
        <v>75</v>
      </c>
      <c r="B301" s="13" t="n">
        <v>44927</v>
      </c>
      <c r="C301" s="13" t="n">
        <v>45291</v>
      </c>
      <c r="D301" s="13" t="n">
        <v>44927</v>
      </c>
      <c r="E301" t="n">
        <v>0</v>
      </c>
      <c r="F301" s="13" t="n">
        <v>45291</v>
      </c>
      <c r="G301" t="n">
        <v>5.60784</v>
      </c>
      <c r="H301" t="n">
        <v>1.52088</v>
      </c>
      <c r="I301" t="n">
        <v>1.53792</v>
      </c>
      <c r="J301" t="n">
        <v>1.55472</v>
      </c>
      <c r="K301" t="n">
        <v>1.55472</v>
      </c>
      <c r="L301" t="n">
        <v>0.5952</v>
      </c>
      <c r="M301" t="n">
        <v>0.5376</v>
      </c>
      <c r="N301" t="n">
        <v>0.5952</v>
      </c>
      <c r="O301" t="n">
        <v>0.576</v>
      </c>
      <c r="P301" t="n">
        <v>0.5952</v>
      </c>
      <c r="Q301" t="n">
        <v>0.576</v>
      </c>
      <c r="R301" t="n">
        <v>0.5952</v>
      </c>
      <c r="S301" t="n">
        <v>0.5952</v>
      </c>
      <c r="T301" t="n">
        <v>0.576</v>
      </c>
      <c r="U301" t="n">
        <v>0.5952</v>
      </c>
      <c r="V301" t="n">
        <v>0.576</v>
      </c>
      <c r="W301" t="n">
        <v>0.5952</v>
      </c>
      <c r="X301" t="n">
        <v>0.02304</v>
      </c>
      <c r="Y301" t="n">
        <v>0.02304</v>
      </c>
      <c r="Z301" t="n">
        <v>0.02304</v>
      </c>
      <c r="AA301" t="n">
        <v>0.02304</v>
      </c>
      <c r="AB301" t="n">
        <v>0.02304</v>
      </c>
      <c r="AC301" t="n">
        <v>0.02304</v>
      </c>
      <c r="AD301" t="n">
        <v>0.02304</v>
      </c>
      <c r="AE301" t="n">
        <v>0.02304</v>
      </c>
      <c r="AF301" t="n">
        <v>0.02304</v>
      </c>
      <c r="AG301" t="n">
        <v>0.02304</v>
      </c>
      <c r="AH301" t="n">
        <v>0.02304</v>
      </c>
      <c r="AI301" t="n">
        <v>0.02304</v>
      </c>
    </row>
    <row r="302">
      <c r="A302" t="n">
        <v>75</v>
      </c>
      <c r="B302" s="13" t="n">
        <v>45292</v>
      </c>
      <c r="C302" s="13" t="n">
        <v>45657</v>
      </c>
      <c r="D302" s="13" t="n">
        <v>45292</v>
      </c>
      <c r="E302" t="n">
        <v>0</v>
      </c>
      <c r="F302" s="13" t="n">
        <v>45657</v>
      </c>
      <c r="G302" t="n">
        <v>6.72936</v>
      </c>
      <c r="H302" t="n">
        <v>1.84032</v>
      </c>
      <c r="I302" t="n">
        <v>1.84032</v>
      </c>
      <c r="J302" t="n">
        <v>1.86048</v>
      </c>
      <c r="K302" t="n">
        <v>1.86048</v>
      </c>
      <c r="L302" t="n">
        <v>0.71256</v>
      </c>
      <c r="M302" t="n">
        <v>0.66672</v>
      </c>
      <c r="N302" t="n">
        <v>0.71256</v>
      </c>
      <c r="O302" t="n">
        <v>0.68952</v>
      </c>
      <c r="P302" t="n">
        <v>0.71256</v>
      </c>
      <c r="Q302" t="n">
        <v>0.68952</v>
      </c>
      <c r="R302" t="n">
        <v>0.71256</v>
      </c>
      <c r="S302" t="n">
        <v>0.71256</v>
      </c>
      <c r="T302" t="n">
        <v>0.68952</v>
      </c>
      <c r="U302" t="n">
        <v>0.71256</v>
      </c>
      <c r="V302" t="n">
        <v>0.68952</v>
      </c>
      <c r="W302" t="n">
        <v>0.71256</v>
      </c>
      <c r="X302" t="n">
        <v>0.02736</v>
      </c>
      <c r="Y302" t="n">
        <v>0.02736</v>
      </c>
      <c r="Z302" t="n">
        <v>0.02736</v>
      </c>
      <c r="AA302" t="n">
        <v>0.02736</v>
      </c>
      <c r="AB302" t="n">
        <v>0.02736</v>
      </c>
      <c r="AC302" t="n">
        <v>0.02736</v>
      </c>
      <c r="AD302" t="n">
        <v>0.02736</v>
      </c>
      <c r="AE302" t="n">
        <v>0.02736</v>
      </c>
      <c r="AF302" t="n">
        <v>0.02736</v>
      </c>
      <c r="AG302" t="n">
        <v>0.02736</v>
      </c>
      <c r="AH302" t="n">
        <v>0.02736</v>
      </c>
      <c r="AI302" t="n">
        <v>0.02736</v>
      </c>
    </row>
    <row r="303">
      <c r="A303" t="n">
        <v>75</v>
      </c>
      <c r="B303" s="13" t="n">
        <v>45658</v>
      </c>
      <c r="C303" s="13" t="n">
        <v>46022</v>
      </c>
      <c r="D303" s="13" t="n">
        <v>45658</v>
      </c>
      <c r="E303" t="n">
        <v>0</v>
      </c>
      <c r="F303" s="13" t="n">
        <v>46022</v>
      </c>
      <c r="G303" t="n">
        <v>5.41272</v>
      </c>
      <c r="H303" t="n">
        <v>1.46808</v>
      </c>
      <c r="I303" t="n">
        <v>1.4844</v>
      </c>
      <c r="J303" t="n">
        <v>1.50072</v>
      </c>
      <c r="K303" t="n">
        <v>1.50072</v>
      </c>
      <c r="L303" t="n">
        <v>0.5748</v>
      </c>
      <c r="M303" t="n">
        <v>0.51912</v>
      </c>
      <c r="N303" t="n">
        <v>0.5748</v>
      </c>
      <c r="O303" t="n">
        <v>0.55632</v>
      </c>
      <c r="P303" t="n">
        <v>0.5748</v>
      </c>
      <c r="Q303" t="n">
        <v>0.55632</v>
      </c>
      <c r="R303" t="n">
        <v>0.5748</v>
      </c>
      <c r="S303" t="n">
        <v>0.5748</v>
      </c>
      <c r="T303" t="n">
        <v>0.55632</v>
      </c>
      <c r="U303" t="n">
        <v>0.5748</v>
      </c>
      <c r="V303" t="n">
        <v>0.55632</v>
      </c>
      <c r="W303" t="n">
        <v>0.5748</v>
      </c>
      <c r="X303" t="n">
        <v>0.02208</v>
      </c>
      <c r="Y303" t="n">
        <v>0.02208</v>
      </c>
      <c r="Z303" t="n">
        <v>0.02208</v>
      </c>
      <c r="AA303" t="n">
        <v>0.02208</v>
      </c>
      <c r="AB303" t="n">
        <v>0.02208</v>
      </c>
      <c r="AC303" t="n">
        <v>0.02208</v>
      </c>
      <c r="AD303" t="n">
        <v>0.02208</v>
      </c>
      <c r="AE303" t="n">
        <v>0.02208</v>
      </c>
      <c r="AF303" t="n">
        <v>0.02208</v>
      </c>
      <c r="AG303" t="n">
        <v>0.02208</v>
      </c>
      <c r="AH303" t="n">
        <v>0.02208</v>
      </c>
      <c r="AI303" t="n">
        <v>0.02208</v>
      </c>
    </row>
    <row r="304">
      <c r="A304" t="n">
        <v>75</v>
      </c>
      <c r="B304" s="13" t="n">
        <v>46023</v>
      </c>
      <c r="C304" s="13" t="n">
        <v>46387</v>
      </c>
      <c r="D304" s="13" t="n">
        <v>46023</v>
      </c>
      <c r="E304" t="n">
        <v>0</v>
      </c>
      <c r="F304" s="13" t="n">
        <v>46387</v>
      </c>
      <c r="G304" t="n">
        <v>11.96568</v>
      </c>
      <c r="H304" t="n">
        <v>3.24552</v>
      </c>
      <c r="I304" t="n">
        <v>3.28152</v>
      </c>
      <c r="J304" t="n">
        <v>3.31752</v>
      </c>
      <c r="K304" t="n">
        <v>3.31752</v>
      </c>
      <c r="L304" t="n">
        <v>1.27032</v>
      </c>
      <c r="M304" t="n">
        <v>1.14744</v>
      </c>
      <c r="N304" t="n">
        <v>1.27032</v>
      </c>
      <c r="O304" t="n">
        <v>1.22928</v>
      </c>
      <c r="P304" t="n">
        <v>1.27032</v>
      </c>
      <c r="Q304" t="n">
        <v>1.22928</v>
      </c>
      <c r="R304" t="n">
        <v>1.27032</v>
      </c>
      <c r="S304" t="n">
        <v>1.27032</v>
      </c>
      <c r="T304" t="n">
        <v>1.22928</v>
      </c>
      <c r="U304" t="n">
        <v>1.27032</v>
      </c>
      <c r="V304" t="n">
        <v>1.22928</v>
      </c>
      <c r="W304" t="n">
        <v>1.27032</v>
      </c>
      <c r="X304" t="n">
        <v>0.0492</v>
      </c>
      <c r="Y304" t="n">
        <v>0.0492</v>
      </c>
      <c r="Z304" t="n">
        <v>0.0492</v>
      </c>
      <c r="AA304" t="n">
        <v>0.0492</v>
      </c>
      <c r="AB304" t="n">
        <v>0.0492</v>
      </c>
      <c r="AC304" t="n">
        <v>0.0492</v>
      </c>
      <c r="AD304" t="n">
        <v>0.0492</v>
      </c>
      <c r="AE304" t="n">
        <v>0.0492</v>
      </c>
      <c r="AF304" t="n">
        <v>0.0492</v>
      </c>
      <c r="AG304" t="n">
        <v>0.0492</v>
      </c>
      <c r="AH304" t="n">
        <v>0.0492</v>
      </c>
      <c r="AI304" t="n">
        <v>0.0492</v>
      </c>
    </row>
    <row r="305">
      <c r="A305" t="n">
        <v>75</v>
      </c>
      <c r="B305" s="13" t="n">
        <v>46388</v>
      </c>
      <c r="C305" s="13" t="n">
        <v>2958465</v>
      </c>
      <c r="D305" s="13" t="n">
        <v>46388</v>
      </c>
      <c r="E305" t="n">
        <v>1</v>
      </c>
      <c r="G305" t="n">
        <v>12.63072</v>
      </c>
      <c r="H305" t="n">
        <v>3.42576</v>
      </c>
      <c r="I305" t="n">
        <v>3.46392</v>
      </c>
      <c r="J305" t="n">
        <v>3.50208</v>
      </c>
      <c r="K305" t="n">
        <v>3.50208</v>
      </c>
      <c r="L305" t="n">
        <v>1.34088</v>
      </c>
      <c r="M305" t="n">
        <v>1.21128</v>
      </c>
      <c r="N305" t="n">
        <v>1.34088</v>
      </c>
      <c r="O305" t="n">
        <v>1.29768</v>
      </c>
      <c r="P305" t="n">
        <v>1.34088</v>
      </c>
      <c r="Q305" t="n">
        <v>1.29768</v>
      </c>
      <c r="R305" t="n">
        <v>1.34088</v>
      </c>
      <c r="S305" t="n">
        <v>1.34088</v>
      </c>
      <c r="T305" t="n">
        <v>1.29768</v>
      </c>
      <c r="U305" t="n">
        <v>1.34088</v>
      </c>
      <c r="V305" t="n">
        <v>1.29768</v>
      </c>
      <c r="W305" t="n">
        <v>1.34088</v>
      </c>
      <c r="X305" t="n">
        <v>0.05184</v>
      </c>
      <c r="Y305" t="n">
        <v>0.05184</v>
      </c>
      <c r="Z305" t="n">
        <v>0.05184</v>
      </c>
      <c r="AA305" t="n">
        <v>0.05184</v>
      </c>
      <c r="AB305" t="n">
        <v>0.05184</v>
      </c>
      <c r="AC305" t="n">
        <v>0.05184</v>
      </c>
      <c r="AD305" t="n">
        <v>0.05184</v>
      </c>
      <c r="AE305" t="n">
        <v>0.05184</v>
      </c>
      <c r="AF305" t="n">
        <v>0.05184</v>
      </c>
      <c r="AG305" t="n">
        <v>0.05184</v>
      </c>
      <c r="AH305" t="n">
        <v>0.05184</v>
      </c>
      <c r="AI305" t="n">
        <v>0.05184</v>
      </c>
    </row>
    <row r="306">
      <c r="A306" t="n">
        <v>76</v>
      </c>
      <c r="B306" s="13" t="n">
        <v>44562</v>
      </c>
      <c r="C306" s="13" t="n">
        <v>44926</v>
      </c>
      <c r="D306" s="13" t="n">
        <v>44562</v>
      </c>
      <c r="E306" t="n">
        <v>0</v>
      </c>
      <c r="F306" s="13" t="n">
        <v>44926</v>
      </c>
      <c r="G306" t="n">
        <v>12.1908</v>
      </c>
      <c r="H306" t="n">
        <v>3.30648</v>
      </c>
      <c r="I306" t="n">
        <v>3.3432</v>
      </c>
      <c r="J306" t="n">
        <v>3.37992</v>
      </c>
      <c r="K306" t="n">
        <v>3.37992</v>
      </c>
      <c r="L306" t="n">
        <v>1.29408</v>
      </c>
      <c r="M306" t="n">
        <v>1.1688</v>
      </c>
      <c r="N306" t="n">
        <v>1.29408</v>
      </c>
      <c r="O306" t="n">
        <v>1.25232</v>
      </c>
      <c r="P306" t="n">
        <v>1.29408</v>
      </c>
      <c r="Q306" t="n">
        <v>1.25232</v>
      </c>
      <c r="R306" t="n">
        <v>1.29408</v>
      </c>
      <c r="S306" t="n">
        <v>1.29408</v>
      </c>
      <c r="T306" t="n">
        <v>1.25232</v>
      </c>
      <c r="U306" t="n">
        <v>1.29408</v>
      </c>
      <c r="V306" t="n">
        <v>1.25232</v>
      </c>
      <c r="W306" t="n">
        <v>1.29408</v>
      </c>
      <c r="X306" t="n">
        <v>0.04992</v>
      </c>
      <c r="Y306" t="n">
        <v>0.04992</v>
      </c>
      <c r="Z306" t="n">
        <v>0.04992</v>
      </c>
      <c r="AA306" t="n">
        <v>0.04992</v>
      </c>
      <c r="AB306" t="n">
        <v>0.04992</v>
      </c>
      <c r="AC306" t="n">
        <v>0.04992</v>
      </c>
      <c r="AD306" t="n">
        <v>0.04992</v>
      </c>
      <c r="AE306" t="n">
        <v>0.04992</v>
      </c>
      <c r="AF306" t="n">
        <v>0.04992</v>
      </c>
      <c r="AG306" t="n">
        <v>0.04992</v>
      </c>
      <c r="AH306" t="n">
        <v>0.04992</v>
      </c>
      <c r="AI306" t="n">
        <v>0.04992</v>
      </c>
    </row>
    <row r="307">
      <c r="A307" t="n">
        <v>76</v>
      </c>
      <c r="B307" s="13" t="n">
        <v>44927</v>
      </c>
      <c r="C307" s="13" t="n">
        <v>45291</v>
      </c>
      <c r="D307" s="13" t="n">
        <v>44927</v>
      </c>
      <c r="E307" t="n">
        <v>0</v>
      </c>
      <c r="F307" s="13" t="n">
        <v>45291</v>
      </c>
      <c r="G307" t="n">
        <v>12.64704</v>
      </c>
      <c r="H307" t="n">
        <v>3.43008</v>
      </c>
      <c r="I307" t="n">
        <v>3.46824</v>
      </c>
      <c r="J307" t="n">
        <v>3.5064</v>
      </c>
      <c r="K307" t="n">
        <v>3.5064</v>
      </c>
      <c r="L307" t="n">
        <v>1.34256</v>
      </c>
      <c r="M307" t="n">
        <v>1.21272</v>
      </c>
      <c r="N307" t="n">
        <v>1.34256</v>
      </c>
      <c r="O307" t="n">
        <v>1.29912</v>
      </c>
      <c r="P307" t="n">
        <v>1.34256</v>
      </c>
      <c r="Q307" t="n">
        <v>1.29912</v>
      </c>
      <c r="R307" t="n">
        <v>1.34256</v>
      </c>
      <c r="S307" t="n">
        <v>1.34256</v>
      </c>
      <c r="T307" t="n">
        <v>1.29912</v>
      </c>
      <c r="U307" t="n">
        <v>1.34256</v>
      </c>
      <c r="V307" t="n">
        <v>1.29912</v>
      </c>
      <c r="W307" t="n">
        <v>1.34256</v>
      </c>
      <c r="X307" t="n">
        <v>0.05184</v>
      </c>
      <c r="Y307" t="n">
        <v>0.05184</v>
      </c>
      <c r="Z307" t="n">
        <v>0.05184</v>
      </c>
      <c r="AA307" t="n">
        <v>0.05184</v>
      </c>
      <c r="AB307" t="n">
        <v>0.05184</v>
      </c>
      <c r="AC307" t="n">
        <v>0.05184</v>
      </c>
      <c r="AD307" t="n">
        <v>0.05184</v>
      </c>
      <c r="AE307" t="n">
        <v>0.05184</v>
      </c>
      <c r="AF307" t="n">
        <v>0.05184</v>
      </c>
      <c r="AG307" t="n">
        <v>0.05184</v>
      </c>
      <c r="AH307" t="n">
        <v>0.05184</v>
      </c>
      <c r="AI307" t="n">
        <v>0.05184</v>
      </c>
    </row>
    <row r="308">
      <c r="A308" t="n">
        <v>76</v>
      </c>
      <c r="B308" s="13" t="n">
        <v>45292</v>
      </c>
      <c r="C308" s="13" t="n">
        <v>45657</v>
      </c>
      <c r="D308" s="13" t="n">
        <v>45292</v>
      </c>
      <c r="E308" t="n">
        <v>0</v>
      </c>
      <c r="F308" s="13" t="n">
        <v>45657</v>
      </c>
      <c r="G308" t="n">
        <v>15.1764</v>
      </c>
      <c r="H308" t="n">
        <v>4.1508</v>
      </c>
      <c r="I308" t="n">
        <v>4.1508</v>
      </c>
      <c r="J308" t="n">
        <v>4.1964</v>
      </c>
      <c r="K308" t="n">
        <v>4.1964</v>
      </c>
      <c r="L308" t="n">
        <v>1.6068</v>
      </c>
      <c r="M308" t="n">
        <v>1.50312</v>
      </c>
      <c r="N308" t="n">
        <v>1.6068</v>
      </c>
      <c r="O308" t="n">
        <v>1.55496</v>
      </c>
      <c r="P308" t="n">
        <v>1.6068</v>
      </c>
      <c r="Q308" t="n">
        <v>1.55496</v>
      </c>
      <c r="R308" t="n">
        <v>1.6068</v>
      </c>
      <c r="S308" t="n">
        <v>1.6068</v>
      </c>
      <c r="T308" t="n">
        <v>1.55496</v>
      </c>
      <c r="U308" t="n">
        <v>1.6068</v>
      </c>
      <c r="V308" t="n">
        <v>1.55496</v>
      </c>
      <c r="W308" t="n">
        <v>1.6068</v>
      </c>
      <c r="X308" t="n">
        <v>0.06216</v>
      </c>
      <c r="Y308" t="n">
        <v>0.06216</v>
      </c>
      <c r="Z308" t="n">
        <v>0.06216</v>
      </c>
      <c r="AA308" t="n">
        <v>0.06216</v>
      </c>
      <c r="AB308" t="n">
        <v>0.06216</v>
      </c>
      <c r="AC308" t="n">
        <v>0.06216</v>
      </c>
      <c r="AD308" t="n">
        <v>0.06216</v>
      </c>
      <c r="AE308" t="n">
        <v>0.06216</v>
      </c>
      <c r="AF308" t="n">
        <v>0.06216</v>
      </c>
      <c r="AG308" t="n">
        <v>0.06216</v>
      </c>
      <c r="AH308" t="n">
        <v>0.06216</v>
      </c>
      <c r="AI308" t="n">
        <v>0.06216</v>
      </c>
    </row>
    <row r="309">
      <c r="A309" t="n">
        <v>76</v>
      </c>
      <c r="B309" s="13" t="n">
        <v>45658</v>
      </c>
      <c r="C309" s="13" t="n">
        <v>46022</v>
      </c>
      <c r="D309" s="13" t="n">
        <v>45658</v>
      </c>
      <c r="E309" t="n">
        <v>0</v>
      </c>
      <c r="F309" s="13" t="n">
        <v>46022</v>
      </c>
      <c r="G309" t="n">
        <v>17.86104</v>
      </c>
      <c r="H309" t="n">
        <v>4.84464</v>
      </c>
      <c r="I309" t="n">
        <v>4.8984</v>
      </c>
      <c r="J309" t="n">
        <v>4.95216</v>
      </c>
      <c r="K309" t="n">
        <v>4.95216</v>
      </c>
      <c r="L309" t="n">
        <v>1.89624</v>
      </c>
      <c r="M309" t="n">
        <v>1.71264</v>
      </c>
      <c r="N309" t="n">
        <v>1.89624</v>
      </c>
      <c r="O309" t="n">
        <v>1.83504</v>
      </c>
      <c r="P309" t="n">
        <v>1.89624</v>
      </c>
      <c r="Q309" t="n">
        <v>1.83504</v>
      </c>
      <c r="R309" t="n">
        <v>1.89624</v>
      </c>
      <c r="S309" t="n">
        <v>1.89624</v>
      </c>
      <c r="T309" t="n">
        <v>1.83504</v>
      </c>
      <c r="U309" t="n">
        <v>1.89624</v>
      </c>
      <c r="V309" t="n">
        <v>1.83504</v>
      </c>
      <c r="W309" t="n">
        <v>1.89624</v>
      </c>
      <c r="X309" t="n">
        <v>0.0732</v>
      </c>
      <c r="Y309" t="n">
        <v>0.0732</v>
      </c>
      <c r="Z309" t="n">
        <v>0.0732</v>
      </c>
      <c r="AA309" t="n">
        <v>0.0732</v>
      </c>
      <c r="AB309" t="n">
        <v>0.0732</v>
      </c>
      <c r="AC309" t="n">
        <v>0.0732</v>
      </c>
      <c r="AD309" t="n">
        <v>0.0732</v>
      </c>
      <c r="AE309" t="n">
        <v>0.0732</v>
      </c>
      <c r="AF309" t="n">
        <v>0.0732</v>
      </c>
      <c r="AG309" t="n">
        <v>0.0732</v>
      </c>
      <c r="AH309" t="n">
        <v>0.0732</v>
      </c>
      <c r="AI309" t="n">
        <v>0.0732</v>
      </c>
    </row>
    <row r="310">
      <c r="A310" t="n">
        <v>76</v>
      </c>
      <c r="B310" s="13" t="n">
        <v>46023</v>
      </c>
      <c r="C310" s="13" t="n">
        <v>46387</v>
      </c>
      <c r="D310" s="13" t="n">
        <v>46023</v>
      </c>
      <c r="E310" t="n">
        <v>0</v>
      </c>
      <c r="F310" s="13" t="n">
        <v>46387</v>
      </c>
      <c r="G310" t="n">
        <v>41.35056</v>
      </c>
      <c r="H310" t="n">
        <v>11.21568</v>
      </c>
      <c r="I310" t="n">
        <v>11.34024</v>
      </c>
      <c r="J310" t="n">
        <v>11.4648</v>
      </c>
      <c r="K310" t="n">
        <v>11.4648</v>
      </c>
      <c r="L310" t="n">
        <v>4.38984</v>
      </c>
      <c r="M310" t="n">
        <v>3.96504</v>
      </c>
      <c r="N310" t="n">
        <v>4.38984</v>
      </c>
      <c r="O310" t="n">
        <v>4.24824</v>
      </c>
      <c r="P310" t="n">
        <v>4.38984</v>
      </c>
      <c r="Q310" t="n">
        <v>4.24824</v>
      </c>
      <c r="R310" t="n">
        <v>4.38984</v>
      </c>
      <c r="S310" t="n">
        <v>4.38984</v>
      </c>
      <c r="T310" t="n">
        <v>4.24824</v>
      </c>
      <c r="U310" t="n">
        <v>4.38984</v>
      </c>
      <c r="V310" t="n">
        <v>4.24824</v>
      </c>
      <c r="W310" t="n">
        <v>4.38984</v>
      </c>
      <c r="X310" t="n">
        <v>0.16992</v>
      </c>
      <c r="Y310" t="n">
        <v>0.16992</v>
      </c>
      <c r="Z310" t="n">
        <v>0.16992</v>
      </c>
      <c r="AA310" t="n">
        <v>0.16992</v>
      </c>
      <c r="AB310" t="n">
        <v>0.16992</v>
      </c>
      <c r="AC310" t="n">
        <v>0.16992</v>
      </c>
      <c r="AD310" t="n">
        <v>0.16992</v>
      </c>
      <c r="AE310" t="n">
        <v>0.16992</v>
      </c>
      <c r="AF310" t="n">
        <v>0.16992</v>
      </c>
      <c r="AG310" t="n">
        <v>0.16992</v>
      </c>
      <c r="AH310" t="n">
        <v>0.16992</v>
      </c>
      <c r="AI310" t="n">
        <v>0.16992</v>
      </c>
    </row>
    <row r="311">
      <c r="A311" t="n">
        <v>76</v>
      </c>
      <c r="B311" s="13" t="n">
        <v>46388</v>
      </c>
      <c r="C311" s="13" t="n">
        <v>2958465</v>
      </c>
      <c r="D311" s="13" t="n">
        <v>46388</v>
      </c>
      <c r="E311" t="n">
        <v>1</v>
      </c>
      <c r="G311" t="n">
        <v>43.64928</v>
      </c>
      <c r="H311" t="n">
        <v>11.8392</v>
      </c>
      <c r="I311" t="n">
        <v>11.97072</v>
      </c>
      <c r="J311" t="n">
        <v>12.10224</v>
      </c>
      <c r="K311" t="n">
        <v>12.10224</v>
      </c>
      <c r="L311" t="n">
        <v>4.63392</v>
      </c>
      <c r="M311" t="n">
        <v>4.1856</v>
      </c>
      <c r="N311" t="n">
        <v>4.63392</v>
      </c>
      <c r="O311" t="n">
        <v>4.4844</v>
      </c>
      <c r="P311" t="n">
        <v>4.63392</v>
      </c>
      <c r="Q311" t="n">
        <v>4.4844</v>
      </c>
      <c r="R311" t="n">
        <v>4.63392</v>
      </c>
      <c r="S311" t="n">
        <v>4.63392</v>
      </c>
      <c r="T311" t="n">
        <v>4.4844</v>
      </c>
      <c r="U311" t="n">
        <v>4.63392</v>
      </c>
      <c r="V311" t="n">
        <v>4.4844</v>
      </c>
      <c r="W311" t="n">
        <v>4.63392</v>
      </c>
      <c r="X311" t="n">
        <v>0.17928</v>
      </c>
      <c r="Y311" t="n">
        <v>0.17928</v>
      </c>
      <c r="Z311" t="n">
        <v>0.17928</v>
      </c>
      <c r="AA311" t="n">
        <v>0.17928</v>
      </c>
      <c r="AB311" t="n">
        <v>0.17928</v>
      </c>
      <c r="AC311" t="n">
        <v>0.17928</v>
      </c>
      <c r="AD311" t="n">
        <v>0.17928</v>
      </c>
      <c r="AE311" t="n">
        <v>0.17928</v>
      </c>
      <c r="AF311" t="n">
        <v>0.17928</v>
      </c>
      <c r="AG311" t="n">
        <v>0.17928</v>
      </c>
      <c r="AH311" t="n">
        <v>0.17928</v>
      </c>
      <c r="AI311" t="n">
        <v>0.17928</v>
      </c>
    </row>
    <row r="312">
      <c r="A312" t="n">
        <v>77</v>
      </c>
      <c r="B312" s="13" t="n">
        <v>44562</v>
      </c>
      <c r="C312" s="13" t="n">
        <v>44926</v>
      </c>
      <c r="D312" s="13" t="n">
        <v>44562</v>
      </c>
      <c r="E312" t="n">
        <v>0</v>
      </c>
      <c r="F312" s="13" t="n">
        <v>44926</v>
      </c>
      <c r="G312" t="n">
        <v>20.32416</v>
      </c>
      <c r="H312" t="n">
        <v>5.51256</v>
      </c>
      <c r="I312" t="n">
        <v>5.57376</v>
      </c>
      <c r="J312" t="n">
        <v>5.63496</v>
      </c>
      <c r="K312" t="n">
        <v>5.63496</v>
      </c>
      <c r="L312" t="n">
        <v>2.1576</v>
      </c>
      <c r="M312" t="n">
        <v>1.9488</v>
      </c>
      <c r="N312" t="n">
        <v>2.1576</v>
      </c>
      <c r="O312" t="n">
        <v>2.088</v>
      </c>
      <c r="P312" t="n">
        <v>2.1576</v>
      </c>
      <c r="Q312" t="n">
        <v>2.088</v>
      </c>
      <c r="R312" t="n">
        <v>2.1576</v>
      </c>
      <c r="S312" t="n">
        <v>2.1576</v>
      </c>
      <c r="T312" t="n">
        <v>2.088</v>
      </c>
      <c r="U312" t="n">
        <v>2.1576</v>
      </c>
      <c r="V312" t="n">
        <v>2.088</v>
      </c>
      <c r="W312" t="n">
        <v>2.1576</v>
      </c>
      <c r="X312" t="n">
        <v>0.08352</v>
      </c>
      <c r="Y312" t="n">
        <v>0.08352</v>
      </c>
      <c r="Z312" t="n">
        <v>0.08352</v>
      </c>
      <c r="AA312" t="n">
        <v>0.08352</v>
      </c>
      <c r="AB312" t="n">
        <v>0.08352</v>
      </c>
      <c r="AC312" t="n">
        <v>0.08352</v>
      </c>
      <c r="AD312" t="n">
        <v>0.08352</v>
      </c>
      <c r="AE312" t="n">
        <v>0.08352</v>
      </c>
      <c r="AF312" t="n">
        <v>0.08352</v>
      </c>
      <c r="AG312" t="n">
        <v>0.08352</v>
      </c>
      <c r="AH312" t="n">
        <v>0.08352</v>
      </c>
      <c r="AI312" t="n">
        <v>0.08352</v>
      </c>
    </row>
    <row r="313">
      <c r="A313" t="n">
        <v>77</v>
      </c>
      <c r="B313" s="13" t="n">
        <v>44927</v>
      </c>
      <c r="C313" s="13" t="n">
        <v>45291</v>
      </c>
      <c r="D313" s="13" t="n">
        <v>44927</v>
      </c>
      <c r="E313" t="n">
        <v>0</v>
      </c>
      <c r="F313" s="13" t="n">
        <v>45291</v>
      </c>
      <c r="G313" t="n">
        <v>21.08472</v>
      </c>
      <c r="H313" t="n">
        <v>5.71872</v>
      </c>
      <c r="I313" t="n">
        <v>5.78232</v>
      </c>
      <c r="J313" t="n">
        <v>5.84592</v>
      </c>
      <c r="K313" t="n">
        <v>5.84592</v>
      </c>
      <c r="L313" t="n">
        <v>2.23824</v>
      </c>
      <c r="M313" t="n">
        <v>2.02176</v>
      </c>
      <c r="N313" t="n">
        <v>2.23824</v>
      </c>
      <c r="O313" t="n">
        <v>2.166</v>
      </c>
      <c r="P313" t="n">
        <v>2.23824</v>
      </c>
      <c r="Q313" t="n">
        <v>2.166</v>
      </c>
      <c r="R313" t="n">
        <v>2.23824</v>
      </c>
      <c r="S313" t="n">
        <v>2.23824</v>
      </c>
      <c r="T313" t="n">
        <v>2.166</v>
      </c>
      <c r="U313" t="n">
        <v>2.23824</v>
      </c>
      <c r="V313" t="n">
        <v>2.166</v>
      </c>
      <c r="W313" t="n">
        <v>2.23824</v>
      </c>
      <c r="X313" t="n">
        <v>0.08663999999999999</v>
      </c>
      <c r="Y313" t="n">
        <v>0.08663999999999999</v>
      </c>
      <c r="Z313" t="n">
        <v>0.08663999999999999</v>
      </c>
      <c r="AA313" t="n">
        <v>0.08663999999999999</v>
      </c>
      <c r="AB313" t="n">
        <v>0.08663999999999999</v>
      </c>
      <c r="AC313" t="n">
        <v>0.08663999999999999</v>
      </c>
      <c r="AD313" t="n">
        <v>0.08663999999999999</v>
      </c>
      <c r="AE313" t="n">
        <v>0.08663999999999999</v>
      </c>
      <c r="AF313" t="n">
        <v>0.08663999999999999</v>
      </c>
      <c r="AG313" t="n">
        <v>0.08663999999999999</v>
      </c>
      <c r="AH313" t="n">
        <v>0.08663999999999999</v>
      </c>
      <c r="AI313" t="n">
        <v>0.08663999999999999</v>
      </c>
    </row>
    <row r="314">
      <c r="A314" t="n">
        <v>77</v>
      </c>
      <c r="B314" s="13" t="n">
        <v>45292</v>
      </c>
      <c r="C314" s="13" t="n">
        <v>45657</v>
      </c>
      <c r="D314" s="13" t="n">
        <v>45292</v>
      </c>
      <c r="E314" t="n">
        <v>0</v>
      </c>
      <c r="F314" s="13" t="n">
        <v>45657</v>
      </c>
      <c r="G314" t="n">
        <v>25.30176</v>
      </c>
      <c r="H314" t="n">
        <v>6.91992</v>
      </c>
      <c r="I314" t="n">
        <v>6.91992</v>
      </c>
      <c r="J314" t="n">
        <v>6.996</v>
      </c>
      <c r="K314" t="n">
        <v>6.996</v>
      </c>
      <c r="L314" t="n">
        <v>2.67888</v>
      </c>
      <c r="M314" t="n">
        <v>2.50608</v>
      </c>
      <c r="N314" t="n">
        <v>2.67888</v>
      </c>
      <c r="O314" t="n">
        <v>2.59248</v>
      </c>
      <c r="P314" t="n">
        <v>2.67888</v>
      </c>
      <c r="Q314" t="n">
        <v>2.59248</v>
      </c>
      <c r="R314" t="n">
        <v>2.67888</v>
      </c>
      <c r="S314" t="n">
        <v>2.67888</v>
      </c>
      <c r="T314" t="n">
        <v>2.59248</v>
      </c>
      <c r="U314" t="n">
        <v>2.67888</v>
      </c>
      <c r="V314" t="n">
        <v>2.59248</v>
      </c>
      <c r="W314" t="n">
        <v>2.67888</v>
      </c>
      <c r="X314" t="n">
        <v>0.10368</v>
      </c>
      <c r="Y314" t="n">
        <v>0.10368</v>
      </c>
      <c r="Z314" t="n">
        <v>0.10368</v>
      </c>
      <c r="AA314" t="n">
        <v>0.10368</v>
      </c>
      <c r="AB314" t="n">
        <v>0.10368</v>
      </c>
      <c r="AC314" t="n">
        <v>0.10368</v>
      </c>
      <c r="AD314" t="n">
        <v>0.10368</v>
      </c>
      <c r="AE314" t="n">
        <v>0.10368</v>
      </c>
      <c r="AF314" t="n">
        <v>0.10368</v>
      </c>
      <c r="AG314" t="n">
        <v>0.10368</v>
      </c>
      <c r="AH314" t="n">
        <v>0.10368</v>
      </c>
      <c r="AI314" t="n">
        <v>0.10368</v>
      </c>
    </row>
    <row r="315">
      <c r="A315" t="n">
        <v>77</v>
      </c>
      <c r="B315" s="13" t="n">
        <v>45658</v>
      </c>
      <c r="C315" s="13" t="n">
        <v>46022</v>
      </c>
      <c r="D315" s="13" t="n">
        <v>45658</v>
      </c>
      <c r="E315" t="n">
        <v>0</v>
      </c>
      <c r="F315" s="13" t="n">
        <v>46022</v>
      </c>
      <c r="G315" t="n">
        <v>27.81456</v>
      </c>
      <c r="H315" t="n">
        <v>7.54416</v>
      </c>
      <c r="I315" t="n">
        <v>7.62792</v>
      </c>
      <c r="J315" t="n">
        <v>7.71168</v>
      </c>
      <c r="K315" t="n">
        <v>7.71168</v>
      </c>
      <c r="L315" t="n">
        <v>2.95296</v>
      </c>
      <c r="M315" t="n">
        <v>2.66736</v>
      </c>
      <c r="N315" t="n">
        <v>2.95296</v>
      </c>
      <c r="O315" t="n">
        <v>2.85768</v>
      </c>
      <c r="P315" t="n">
        <v>2.95296</v>
      </c>
      <c r="Q315" t="n">
        <v>2.85768</v>
      </c>
      <c r="R315" t="n">
        <v>2.95296</v>
      </c>
      <c r="S315" t="n">
        <v>2.95296</v>
      </c>
      <c r="T315" t="n">
        <v>2.85768</v>
      </c>
      <c r="U315" t="n">
        <v>2.95296</v>
      </c>
      <c r="V315" t="n">
        <v>2.85768</v>
      </c>
      <c r="W315" t="n">
        <v>2.95296</v>
      </c>
      <c r="X315" t="n">
        <v>0.11424</v>
      </c>
      <c r="Y315" t="n">
        <v>0.11424</v>
      </c>
      <c r="Z315" t="n">
        <v>0.11424</v>
      </c>
      <c r="AA315" t="n">
        <v>0.11424</v>
      </c>
      <c r="AB315" t="n">
        <v>0.11424</v>
      </c>
      <c r="AC315" t="n">
        <v>0.11424</v>
      </c>
      <c r="AD315" t="n">
        <v>0.11424</v>
      </c>
      <c r="AE315" t="n">
        <v>0.11424</v>
      </c>
      <c r="AF315" t="n">
        <v>0.11424</v>
      </c>
      <c r="AG315" t="n">
        <v>0.11424</v>
      </c>
      <c r="AH315" t="n">
        <v>0.11424</v>
      </c>
      <c r="AI315" t="n">
        <v>0.11424</v>
      </c>
    </row>
    <row r="316">
      <c r="A316" t="n">
        <v>77</v>
      </c>
      <c r="B316" s="13" t="n">
        <v>46023</v>
      </c>
      <c r="C316" s="13" t="n">
        <v>46387</v>
      </c>
      <c r="D316" s="13" t="n">
        <v>46023</v>
      </c>
      <c r="E316" t="n">
        <v>0</v>
      </c>
      <c r="F316" s="13" t="n">
        <v>46387</v>
      </c>
      <c r="G316" t="n">
        <v>55.62912</v>
      </c>
      <c r="H316" t="n">
        <v>15.08856</v>
      </c>
      <c r="I316" t="n">
        <v>15.25608</v>
      </c>
      <c r="J316" t="n">
        <v>15.42384</v>
      </c>
      <c r="K316" t="n">
        <v>15.42384</v>
      </c>
      <c r="L316" t="n">
        <v>5.90592</v>
      </c>
      <c r="M316" t="n">
        <v>5.33424</v>
      </c>
      <c r="N316" t="n">
        <v>5.90592</v>
      </c>
      <c r="O316" t="n">
        <v>5.71536</v>
      </c>
      <c r="P316" t="n">
        <v>5.90592</v>
      </c>
      <c r="Q316" t="n">
        <v>5.71536</v>
      </c>
      <c r="R316" t="n">
        <v>5.90592</v>
      </c>
      <c r="S316" t="n">
        <v>5.90592</v>
      </c>
      <c r="T316" t="n">
        <v>5.71536</v>
      </c>
      <c r="U316" t="n">
        <v>5.90592</v>
      </c>
      <c r="V316" t="n">
        <v>5.71536</v>
      </c>
      <c r="W316" t="n">
        <v>5.90592</v>
      </c>
      <c r="X316" t="n">
        <v>0.22872</v>
      </c>
      <c r="Y316" t="n">
        <v>0.22872</v>
      </c>
      <c r="Z316" t="n">
        <v>0.22872</v>
      </c>
      <c r="AA316" t="n">
        <v>0.22872</v>
      </c>
      <c r="AB316" t="n">
        <v>0.22872</v>
      </c>
      <c r="AC316" t="n">
        <v>0.22872</v>
      </c>
      <c r="AD316" t="n">
        <v>0.22872</v>
      </c>
      <c r="AE316" t="n">
        <v>0.22872</v>
      </c>
      <c r="AF316" t="n">
        <v>0.22872</v>
      </c>
      <c r="AG316" t="n">
        <v>0.22872</v>
      </c>
      <c r="AH316" t="n">
        <v>0.22872</v>
      </c>
      <c r="AI316" t="n">
        <v>0.22872</v>
      </c>
    </row>
    <row r="317">
      <c r="A317" t="n">
        <v>77</v>
      </c>
      <c r="B317" s="13" t="n">
        <v>46388</v>
      </c>
      <c r="C317" s="13" t="n">
        <v>2958465</v>
      </c>
      <c r="D317" s="13" t="n">
        <v>46388</v>
      </c>
      <c r="E317" t="n">
        <v>1</v>
      </c>
      <c r="G317" t="n">
        <v>58.72176</v>
      </c>
      <c r="H317" t="n">
        <v>15.92727189</v>
      </c>
      <c r="I317" t="n">
        <v>16.10424</v>
      </c>
      <c r="J317" t="n">
        <v>16.28112</v>
      </c>
      <c r="K317" t="n">
        <v>16.28112</v>
      </c>
      <c r="L317" t="n">
        <v>6.23424</v>
      </c>
      <c r="M317" t="n">
        <v>5.63088</v>
      </c>
      <c r="N317" t="n">
        <v>6.23424</v>
      </c>
      <c r="O317" t="n">
        <v>6.03312</v>
      </c>
      <c r="P317" t="n">
        <v>6.23424</v>
      </c>
      <c r="Q317" t="n">
        <v>6.03312</v>
      </c>
      <c r="R317" t="n">
        <v>6.23424</v>
      </c>
      <c r="S317" t="n">
        <v>6.23424</v>
      </c>
      <c r="T317" t="n">
        <v>6.03312</v>
      </c>
      <c r="U317" t="n">
        <v>6.23424</v>
      </c>
      <c r="V317" t="n">
        <v>6.03312</v>
      </c>
      <c r="W317" t="n">
        <v>6.23424</v>
      </c>
      <c r="X317" t="n">
        <v>0.24144</v>
      </c>
      <c r="Y317" t="n">
        <v>0.24144</v>
      </c>
      <c r="Z317" t="n">
        <v>0.24144</v>
      </c>
      <c r="AA317" t="n">
        <v>0.24144</v>
      </c>
      <c r="AB317" t="n">
        <v>0.24144</v>
      </c>
      <c r="AC317" t="n">
        <v>0.24144</v>
      </c>
      <c r="AD317" t="n">
        <v>0.24144</v>
      </c>
      <c r="AE317" t="n">
        <v>0.24144</v>
      </c>
      <c r="AF317" t="n">
        <v>0.24144</v>
      </c>
      <c r="AG317" t="n">
        <v>0.24144</v>
      </c>
      <c r="AH317" t="n">
        <v>0.24144</v>
      </c>
      <c r="AI317" t="n">
        <v>0.24144</v>
      </c>
    </row>
    <row r="318">
      <c r="A318" t="n">
        <v>78</v>
      </c>
      <c r="B318" s="13" t="n">
        <v>44562</v>
      </c>
      <c r="C318" s="13" t="n">
        <v>44926</v>
      </c>
      <c r="D318" s="13" t="n">
        <v>44562</v>
      </c>
      <c r="E318" t="n">
        <v>0</v>
      </c>
      <c r="F318" s="13" t="n">
        <v>44926</v>
      </c>
      <c r="G318" t="n">
        <v>122.9378</v>
      </c>
      <c r="H318" t="n">
        <v>33.34464</v>
      </c>
      <c r="I318" t="n">
        <v>33.7152</v>
      </c>
      <c r="J318" t="n">
        <v>34.08576</v>
      </c>
      <c r="K318" t="n">
        <v>34.08576</v>
      </c>
      <c r="L318" t="n">
        <v>13.05144</v>
      </c>
      <c r="M318" t="n">
        <v>11.78856</v>
      </c>
      <c r="N318" t="n">
        <v>13.05144</v>
      </c>
      <c r="O318" t="n">
        <v>12.63048</v>
      </c>
      <c r="P318" t="n">
        <v>13.05144</v>
      </c>
      <c r="Q318" t="n">
        <v>12.63048</v>
      </c>
      <c r="R318" t="n">
        <v>13.05144</v>
      </c>
      <c r="S318" t="n">
        <v>13.05144</v>
      </c>
      <c r="T318" t="n">
        <v>12.63048</v>
      </c>
      <c r="U318" t="n">
        <v>13.05144</v>
      </c>
      <c r="V318" t="n">
        <v>12.63048</v>
      </c>
      <c r="W318" t="n">
        <v>13.05144</v>
      </c>
      <c r="X318" t="n">
        <v>0.5052</v>
      </c>
      <c r="Y318" t="n">
        <v>0.5052</v>
      </c>
      <c r="Z318" t="n">
        <v>0.5052</v>
      </c>
      <c r="AA318" t="n">
        <v>0.5052</v>
      </c>
      <c r="AB318" t="n">
        <v>0.5052</v>
      </c>
      <c r="AC318" t="n">
        <v>0.5052</v>
      </c>
      <c r="AD318" t="n">
        <v>0.5052</v>
      </c>
      <c r="AE318" t="n">
        <v>0.5052</v>
      </c>
      <c r="AF318" t="n">
        <v>0.5052</v>
      </c>
      <c r="AG318" t="n">
        <v>0.5052</v>
      </c>
      <c r="AH318" t="n">
        <v>0.5052</v>
      </c>
      <c r="AI318" t="n">
        <v>0.5052</v>
      </c>
    </row>
    <row r="319">
      <c r="A319" t="n">
        <v>78</v>
      </c>
      <c r="B319" s="13" t="n">
        <v>44927</v>
      </c>
      <c r="C319" s="13" t="n">
        <v>45291</v>
      </c>
      <c r="D319" s="13" t="n">
        <v>44927</v>
      </c>
      <c r="E319" t="n">
        <v>0</v>
      </c>
      <c r="F319" s="13" t="n">
        <v>45291</v>
      </c>
      <c r="G319" t="n">
        <v>127.5384</v>
      </c>
      <c r="H319" t="n">
        <v>34.5924</v>
      </c>
      <c r="I319" t="n">
        <v>34.97688</v>
      </c>
      <c r="J319" t="n">
        <v>35.36112</v>
      </c>
      <c r="K319" t="n">
        <v>35.36112</v>
      </c>
      <c r="L319" t="n">
        <v>13.53984</v>
      </c>
      <c r="M319" t="n">
        <v>12.22968</v>
      </c>
      <c r="N319" t="n">
        <v>13.53984</v>
      </c>
      <c r="O319" t="n">
        <v>13.10304</v>
      </c>
      <c r="P319" t="n">
        <v>13.53984</v>
      </c>
      <c r="Q319" t="n">
        <v>13.10304</v>
      </c>
      <c r="R319" t="n">
        <v>13.53984</v>
      </c>
      <c r="S319" t="n">
        <v>13.53984</v>
      </c>
      <c r="T319" t="n">
        <v>13.10304</v>
      </c>
      <c r="U319" t="n">
        <v>13.53984</v>
      </c>
      <c r="V319" t="n">
        <v>13.10304</v>
      </c>
      <c r="W319" t="n">
        <v>13.53984</v>
      </c>
      <c r="X319" t="n">
        <v>0.5239200000000001</v>
      </c>
      <c r="Y319" t="n">
        <v>0.5239200000000001</v>
      </c>
      <c r="Z319" t="n">
        <v>0.5239200000000001</v>
      </c>
      <c r="AA319" t="n">
        <v>0.5239200000000001</v>
      </c>
      <c r="AB319" t="n">
        <v>0.5239200000000001</v>
      </c>
      <c r="AC319" t="n">
        <v>0.5239200000000001</v>
      </c>
      <c r="AD319" t="n">
        <v>0.5239200000000001</v>
      </c>
      <c r="AE319" t="n">
        <v>0.5239200000000001</v>
      </c>
      <c r="AF319" t="n">
        <v>0.5239200000000001</v>
      </c>
      <c r="AG319" t="n">
        <v>0.5239200000000001</v>
      </c>
      <c r="AH319" t="n">
        <v>0.5239200000000001</v>
      </c>
      <c r="AI319" t="n">
        <v>0.5239200000000001</v>
      </c>
    </row>
    <row r="320">
      <c r="A320" t="n">
        <v>78</v>
      </c>
      <c r="B320" s="13" t="n">
        <v>45292</v>
      </c>
      <c r="C320" s="13" t="n">
        <v>45657</v>
      </c>
      <c r="D320" s="13" t="n">
        <v>45292</v>
      </c>
      <c r="E320" t="n">
        <v>0</v>
      </c>
      <c r="F320" s="13" t="n">
        <v>45657</v>
      </c>
      <c r="G320" t="n">
        <v>245.00136</v>
      </c>
      <c r="H320" t="n">
        <v>67.00704</v>
      </c>
      <c r="I320" t="n">
        <v>67.00704</v>
      </c>
      <c r="J320" t="n">
        <v>67.74336</v>
      </c>
      <c r="K320" t="n">
        <v>67.74336</v>
      </c>
      <c r="L320" t="n">
        <v>25.93944</v>
      </c>
      <c r="M320" t="n">
        <v>24.26592</v>
      </c>
      <c r="N320" t="n">
        <v>25.93944</v>
      </c>
      <c r="O320" t="n">
        <v>25.1028</v>
      </c>
      <c r="P320" t="n">
        <v>25.93944</v>
      </c>
      <c r="Q320" t="n">
        <v>25.1028</v>
      </c>
      <c r="R320" t="n">
        <v>25.93944</v>
      </c>
      <c r="S320" t="n">
        <v>25.93944</v>
      </c>
      <c r="T320" t="n">
        <v>25.1028</v>
      </c>
      <c r="U320" t="n">
        <v>25.93944</v>
      </c>
      <c r="V320" t="n">
        <v>25.1028</v>
      </c>
      <c r="W320" t="n">
        <v>25.93944</v>
      </c>
      <c r="X320" t="n">
        <v>1.00392</v>
      </c>
      <c r="Y320" t="n">
        <v>1.00392</v>
      </c>
      <c r="Z320" t="n">
        <v>1.00392</v>
      </c>
      <c r="AA320" t="n">
        <v>1.00392</v>
      </c>
      <c r="AB320" t="n">
        <v>1.00392</v>
      </c>
      <c r="AC320" t="n">
        <v>1.00392</v>
      </c>
      <c r="AD320" t="n">
        <v>1.00392</v>
      </c>
      <c r="AE320" t="n">
        <v>1.00392</v>
      </c>
      <c r="AF320" t="n">
        <v>1.00392</v>
      </c>
      <c r="AG320" t="n">
        <v>1.00392</v>
      </c>
      <c r="AH320" t="n">
        <v>1.00392</v>
      </c>
      <c r="AI320" t="n">
        <v>1.00392</v>
      </c>
    </row>
    <row r="321">
      <c r="A321" t="n">
        <v>78</v>
      </c>
      <c r="B321" s="13" t="n">
        <v>45658</v>
      </c>
      <c r="C321" s="13" t="n">
        <v>46022</v>
      </c>
      <c r="D321" s="13" t="n">
        <v>45658</v>
      </c>
      <c r="E321" t="n">
        <v>0</v>
      </c>
      <c r="F321" s="13" t="n">
        <v>46022</v>
      </c>
      <c r="G321" t="n">
        <v>156</v>
      </c>
      <c r="H321" t="n">
        <v>42.31224</v>
      </c>
      <c r="I321" t="n">
        <v>42.7824</v>
      </c>
      <c r="J321" t="n">
        <v>43.25256</v>
      </c>
      <c r="K321" t="n">
        <v>43.25256</v>
      </c>
      <c r="L321" t="n">
        <v>16.56168</v>
      </c>
      <c r="M321" t="n">
        <v>14.95896</v>
      </c>
      <c r="N321" t="n">
        <v>16.56168</v>
      </c>
      <c r="O321" t="n">
        <v>16.02744</v>
      </c>
      <c r="P321" t="n">
        <v>16.56168</v>
      </c>
      <c r="Q321" t="n">
        <v>16.02744</v>
      </c>
      <c r="R321" t="n">
        <v>16.56168</v>
      </c>
      <c r="S321" t="n">
        <v>16.56168</v>
      </c>
      <c r="T321" t="n">
        <v>16.02744</v>
      </c>
      <c r="U321" t="n">
        <v>16.56168</v>
      </c>
      <c r="V321" t="n">
        <v>16.02744</v>
      </c>
      <c r="W321" t="n">
        <v>16.56168</v>
      </c>
      <c r="X321" t="n">
        <v>0.6410400000000001</v>
      </c>
      <c r="Y321" t="n">
        <v>0.6410400000000001</v>
      </c>
      <c r="Z321" t="n">
        <v>0.6410400000000001</v>
      </c>
      <c r="AA321" t="n">
        <v>0.6410400000000001</v>
      </c>
      <c r="AB321" t="n">
        <v>0.6410400000000001</v>
      </c>
      <c r="AC321" t="n">
        <v>0.6410400000000001</v>
      </c>
      <c r="AD321" t="n">
        <v>0.6410400000000001</v>
      </c>
      <c r="AE321" t="n">
        <v>0.6410400000000001</v>
      </c>
      <c r="AF321" t="n">
        <v>0.6410400000000001</v>
      </c>
      <c r="AG321" t="n">
        <v>0.6410400000000001</v>
      </c>
      <c r="AH321" t="n">
        <v>0.6410400000000001</v>
      </c>
      <c r="AI321" t="n">
        <v>0.6410400000000001</v>
      </c>
    </row>
    <row r="322">
      <c r="A322" t="n">
        <v>78</v>
      </c>
      <c r="B322" s="13" t="n">
        <v>46023</v>
      </c>
      <c r="C322" s="13" t="n">
        <v>46387</v>
      </c>
      <c r="D322" s="13" t="n">
        <v>46023</v>
      </c>
      <c r="E322" t="n">
        <v>0</v>
      </c>
      <c r="F322" s="13" t="n">
        <v>46387</v>
      </c>
      <c r="G322" t="n">
        <v>132</v>
      </c>
      <c r="H322" t="n">
        <v>35.80272</v>
      </c>
      <c r="I322" t="n">
        <v>36.20064</v>
      </c>
      <c r="J322" t="n">
        <v>36.59832</v>
      </c>
      <c r="K322" t="n">
        <v>36.59832</v>
      </c>
      <c r="L322" t="n">
        <v>14.0136</v>
      </c>
      <c r="M322" t="n">
        <v>12.6576</v>
      </c>
      <c r="N322" t="n">
        <v>14.0136</v>
      </c>
      <c r="O322" t="n">
        <v>13.56168</v>
      </c>
      <c r="P322" t="n">
        <v>14.0136</v>
      </c>
      <c r="Q322" t="n">
        <v>13.56168</v>
      </c>
      <c r="R322" t="n">
        <v>14.0136</v>
      </c>
      <c r="S322" t="n">
        <v>14.0136</v>
      </c>
      <c r="T322" t="n">
        <v>13.56168</v>
      </c>
      <c r="U322" t="n">
        <v>14.0136</v>
      </c>
      <c r="V322" t="n">
        <v>13.56168</v>
      </c>
      <c r="W322" t="n">
        <v>14.0136</v>
      </c>
      <c r="X322" t="n">
        <v>0.5424</v>
      </c>
      <c r="Y322" t="n">
        <v>0.5424</v>
      </c>
      <c r="Z322" t="n">
        <v>0.5424</v>
      </c>
      <c r="AA322" t="n">
        <v>0.5424</v>
      </c>
      <c r="AB322" t="n">
        <v>0.5424</v>
      </c>
      <c r="AC322" t="n">
        <v>0.5424</v>
      </c>
      <c r="AD322" t="n">
        <v>0.5424</v>
      </c>
      <c r="AE322" t="n">
        <v>0.5424</v>
      </c>
      <c r="AF322" t="n">
        <v>0.5424</v>
      </c>
      <c r="AG322" t="n">
        <v>0.5424</v>
      </c>
      <c r="AH322" t="n">
        <v>0.5424</v>
      </c>
      <c r="AI322" t="n">
        <v>0.5424</v>
      </c>
    </row>
    <row r="323">
      <c r="A323" t="n">
        <v>78</v>
      </c>
      <c r="B323" s="13" t="n">
        <v>46388</v>
      </c>
      <c r="C323" s="13" t="n">
        <v>2958465</v>
      </c>
      <c r="D323" s="13" t="n">
        <v>46388</v>
      </c>
      <c r="E323" t="n">
        <v>1</v>
      </c>
      <c r="G323" t="n">
        <v>139.2</v>
      </c>
      <c r="H323" t="n">
        <v>37.7556</v>
      </c>
      <c r="I323" t="n">
        <v>38.17512</v>
      </c>
      <c r="J323" t="n">
        <v>38.59464</v>
      </c>
      <c r="K323" t="n">
        <v>38.59464</v>
      </c>
      <c r="L323" t="n">
        <v>14.778</v>
      </c>
      <c r="M323" t="n">
        <v>13.34784</v>
      </c>
      <c r="N323" t="n">
        <v>14.778</v>
      </c>
      <c r="O323" t="n">
        <v>14.30136</v>
      </c>
      <c r="P323" t="n">
        <v>14.778</v>
      </c>
      <c r="Q323" t="n">
        <v>14.30136</v>
      </c>
      <c r="R323" t="n">
        <v>14.778</v>
      </c>
      <c r="S323" t="n">
        <v>14.778</v>
      </c>
      <c r="T323" t="n">
        <v>14.30136</v>
      </c>
      <c r="U323" t="n">
        <v>14.778</v>
      </c>
      <c r="V323" t="n">
        <v>14.30136</v>
      </c>
      <c r="W323" t="n">
        <v>14.778</v>
      </c>
      <c r="X323" t="n">
        <v>0.57216</v>
      </c>
      <c r="Y323" t="n">
        <v>0.57216</v>
      </c>
      <c r="Z323" t="n">
        <v>0.57216</v>
      </c>
      <c r="AA323" t="n">
        <v>0.57216</v>
      </c>
      <c r="AB323" t="n">
        <v>0.57216</v>
      </c>
      <c r="AC323" t="n">
        <v>0.57216</v>
      </c>
      <c r="AD323" t="n">
        <v>0.57216</v>
      </c>
      <c r="AE323" t="n">
        <v>0.57216</v>
      </c>
      <c r="AF323" t="n">
        <v>0.57216</v>
      </c>
      <c r="AG323" t="n">
        <v>0.57216</v>
      </c>
      <c r="AH323" t="n">
        <v>0.57216</v>
      </c>
      <c r="AI323" t="n">
        <v>0.57216</v>
      </c>
    </row>
    <row r="324">
      <c r="A324" t="n">
        <v>79</v>
      </c>
      <c r="B324" s="13" t="n">
        <v>44562</v>
      </c>
      <c r="C324" s="13" t="n">
        <v>44926</v>
      </c>
      <c r="D324" s="13" t="n">
        <v>44562</v>
      </c>
      <c r="E324" t="n">
        <v>0</v>
      </c>
      <c r="F324" s="13" t="n">
        <v>44926</v>
      </c>
      <c r="G324" t="n">
        <v>80.86199999999999</v>
      </c>
      <c r="H324" t="n">
        <v>21.9324</v>
      </c>
      <c r="I324" t="n">
        <v>22.176</v>
      </c>
      <c r="J324" t="n">
        <v>22.4196</v>
      </c>
      <c r="K324" t="n">
        <v>22.4196</v>
      </c>
      <c r="L324" t="n">
        <v>8.58456</v>
      </c>
      <c r="M324" t="n">
        <v>7.75368</v>
      </c>
      <c r="N324" t="n">
        <v>8.58456</v>
      </c>
      <c r="O324" t="n">
        <v>8.307600000000001</v>
      </c>
      <c r="P324" t="n">
        <v>8.58456</v>
      </c>
      <c r="Q324" t="n">
        <v>8.307600000000001</v>
      </c>
      <c r="R324" t="n">
        <v>8.58456</v>
      </c>
      <c r="S324" t="n">
        <v>8.58456</v>
      </c>
      <c r="T324" t="n">
        <v>8.307600000000001</v>
      </c>
      <c r="U324" t="n">
        <v>8.58456</v>
      </c>
      <c r="V324" t="n">
        <v>8.307600000000001</v>
      </c>
      <c r="W324" t="n">
        <v>8.58456</v>
      </c>
      <c r="X324" t="n">
        <v>0.33216</v>
      </c>
      <c r="Y324" t="n">
        <v>0.33216</v>
      </c>
      <c r="Z324" t="n">
        <v>0.33216</v>
      </c>
      <c r="AA324" t="n">
        <v>0.33216</v>
      </c>
      <c r="AB324" t="n">
        <v>0.33216</v>
      </c>
      <c r="AC324" t="n">
        <v>0.33216</v>
      </c>
      <c r="AD324" t="n">
        <v>0.33216</v>
      </c>
      <c r="AE324" t="n">
        <v>0.33216</v>
      </c>
      <c r="AF324" t="n">
        <v>0.33216</v>
      </c>
      <c r="AG324" t="n">
        <v>0.33216</v>
      </c>
      <c r="AH324" t="n">
        <v>0.33216</v>
      </c>
      <c r="AI324" t="n">
        <v>0.33216</v>
      </c>
    </row>
    <row r="325">
      <c r="A325" t="n">
        <v>79</v>
      </c>
      <c r="B325" s="13" t="n">
        <v>44927</v>
      </c>
      <c r="C325" s="13" t="n">
        <v>45291</v>
      </c>
      <c r="D325" s="13" t="n">
        <v>44927</v>
      </c>
      <c r="E325" t="n">
        <v>0</v>
      </c>
      <c r="F325" s="13" t="n">
        <v>45291</v>
      </c>
      <c r="G325" t="n">
        <v>83.88791999999999</v>
      </c>
      <c r="H325" t="n">
        <v>22.75296</v>
      </c>
      <c r="I325" t="n">
        <v>23.00592</v>
      </c>
      <c r="J325" t="n">
        <v>23.25864</v>
      </c>
      <c r="K325" t="n">
        <v>23.25864</v>
      </c>
      <c r="L325" t="n">
        <v>8.90568</v>
      </c>
      <c r="M325" t="n">
        <v>8.043839999999999</v>
      </c>
      <c r="N325" t="n">
        <v>8.90568</v>
      </c>
      <c r="O325" t="n">
        <v>8.618399999999999</v>
      </c>
      <c r="P325" t="n">
        <v>8.90568</v>
      </c>
      <c r="Q325" t="n">
        <v>8.618399999999999</v>
      </c>
      <c r="R325" t="n">
        <v>8.90568</v>
      </c>
      <c r="S325" t="n">
        <v>8.90568</v>
      </c>
      <c r="T325" t="n">
        <v>8.618399999999999</v>
      </c>
      <c r="U325" t="n">
        <v>8.90568</v>
      </c>
      <c r="V325" t="n">
        <v>8.618399999999999</v>
      </c>
      <c r="W325" t="n">
        <v>8.90568</v>
      </c>
      <c r="X325" t="n">
        <v>0.34464</v>
      </c>
      <c r="Y325" t="n">
        <v>0.34464</v>
      </c>
      <c r="Z325" t="n">
        <v>0.34464</v>
      </c>
      <c r="AA325" t="n">
        <v>0.34464</v>
      </c>
      <c r="AB325" t="n">
        <v>0.34464</v>
      </c>
      <c r="AC325" t="n">
        <v>0.34464</v>
      </c>
      <c r="AD325" t="n">
        <v>0.34464</v>
      </c>
      <c r="AE325" t="n">
        <v>0.34464</v>
      </c>
      <c r="AF325" t="n">
        <v>0.34464</v>
      </c>
      <c r="AG325" t="n">
        <v>0.34464</v>
      </c>
      <c r="AH325" t="n">
        <v>0.34464</v>
      </c>
      <c r="AI325" t="n">
        <v>0.34464</v>
      </c>
    </row>
    <row r="326">
      <c r="A326" t="n">
        <v>79</v>
      </c>
      <c r="B326" s="13" t="n">
        <v>45292</v>
      </c>
      <c r="C326" s="13" t="n">
        <v>45657</v>
      </c>
      <c r="D326" s="13" t="n">
        <v>45292</v>
      </c>
      <c r="E326" t="n">
        <v>0</v>
      </c>
      <c r="F326" s="13" t="n">
        <v>45657</v>
      </c>
      <c r="G326" t="n">
        <v>161.14872</v>
      </c>
      <c r="H326" t="n">
        <v>44.07384</v>
      </c>
      <c r="I326" t="n">
        <v>44.07384</v>
      </c>
      <c r="J326" t="n">
        <v>44.55816</v>
      </c>
      <c r="K326" t="n">
        <v>44.55816</v>
      </c>
      <c r="L326" t="n">
        <v>17.0616</v>
      </c>
      <c r="M326" t="n">
        <v>15.96072</v>
      </c>
      <c r="N326" t="n">
        <v>17.0616</v>
      </c>
      <c r="O326" t="n">
        <v>16.51128</v>
      </c>
      <c r="P326" t="n">
        <v>17.0616</v>
      </c>
      <c r="Q326" t="n">
        <v>16.51128</v>
      </c>
      <c r="R326" t="n">
        <v>17.0616</v>
      </c>
      <c r="S326" t="n">
        <v>17.0616</v>
      </c>
      <c r="T326" t="n">
        <v>16.51128</v>
      </c>
      <c r="U326" t="n">
        <v>17.0616</v>
      </c>
      <c r="V326" t="n">
        <v>16.51128</v>
      </c>
      <c r="W326" t="n">
        <v>17.0616</v>
      </c>
      <c r="X326" t="n">
        <v>0.66048</v>
      </c>
      <c r="Y326" t="n">
        <v>0.66048</v>
      </c>
      <c r="Z326" t="n">
        <v>0.66048</v>
      </c>
      <c r="AA326" t="n">
        <v>0.66048</v>
      </c>
      <c r="AB326" t="n">
        <v>0.66048</v>
      </c>
      <c r="AC326" t="n">
        <v>0.66048</v>
      </c>
      <c r="AD326" t="n">
        <v>0.66048</v>
      </c>
      <c r="AE326" t="n">
        <v>0.66048</v>
      </c>
      <c r="AF326" t="n">
        <v>0.66048</v>
      </c>
      <c r="AG326" t="n">
        <v>0.66048</v>
      </c>
      <c r="AH326" t="n">
        <v>0.66048</v>
      </c>
      <c r="AI326" t="n">
        <v>0.66048</v>
      </c>
    </row>
    <row r="327">
      <c r="A327" t="n">
        <v>79</v>
      </c>
      <c r="B327" s="13" t="n">
        <v>45658</v>
      </c>
      <c r="C327" s="13" t="n">
        <v>46022</v>
      </c>
      <c r="D327" s="13" t="n">
        <v>45658</v>
      </c>
      <c r="E327" t="n">
        <v>0</v>
      </c>
      <c r="F327" s="13" t="n">
        <v>46022</v>
      </c>
      <c r="G327" t="n">
        <v>156</v>
      </c>
      <c r="H327" t="n">
        <v>42.31248</v>
      </c>
      <c r="I327" t="n">
        <v>42.78264</v>
      </c>
      <c r="J327" t="n">
        <v>43.2528</v>
      </c>
      <c r="K327" t="n">
        <v>43.2528</v>
      </c>
      <c r="L327" t="n">
        <v>16.56168</v>
      </c>
      <c r="M327" t="n">
        <v>14.95872</v>
      </c>
      <c r="N327" t="n">
        <v>16.56168</v>
      </c>
      <c r="O327" t="n">
        <v>16.02744</v>
      </c>
      <c r="P327" t="n">
        <v>16.56168</v>
      </c>
      <c r="Q327" t="n">
        <v>16.02744</v>
      </c>
      <c r="R327" t="n">
        <v>16.56168</v>
      </c>
      <c r="S327" t="n">
        <v>16.56168</v>
      </c>
      <c r="T327" t="n">
        <v>16.02744</v>
      </c>
      <c r="U327" t="n">
        <v>16.56168</v>
      </c>
      <c r="V327" t="n">
        <v>16.02744</v>
      </c>
      <c r="W327" t="n">
        <v>16.56168</v>
      </c>
      <c r="X327" t="n">
        <v>0.64128</v>
      </c>
      <c r="Y327" t="n">
        <v>0.64128</v>
      </c>
      <c r="Z327" t="n">
        <v>0.64128</v>
      </c>
      <c r="AA327" t="n">
        <v>0.64128</v>
      </c>
      <c r="AB327" t="n">
        <v>0.64128</v>
      </c>
      <c r="AC327" t="n">
        <v>0.64128</v>
      </c>
      <c r="AD327" t="n">
        <v>0.64128</v>
      </c>
      <c r="AE327" t="n">
        <v>0.64128</v>
      </c>
      <c r="AF327" t="n">
        <v>0.64128</v>
      </c>
      <c r="AG327" t="n">
        <v>0.64128</v>
      </c>
      <c r="AH327" t="n">
        <v>0.64128</v>
      </c>
      <c r="AI327" t="n">
        <v>0.64128</v>
      </c>
    </row>
    <row r="328">
      <c r="A328" t="n">
        <v>79</v>
      </c>
      <c r="B328" s="13" t="n">
        <v>46023</v>
      </c>
      <c r="C328" s="13" t="n">
        <v>46387</v>
      </c>
      <c r="D328" s="13" t="n">
        <v>46023</v>
      </c>
      <c r="E328" t="n">
        <v>0</v>
      </c>
      <c r="F328" s="13" t="n">
        <v>46387</v>
      </c>
      <c r="G328" t="n">
        <v>86.40000000000001</v>
      </c>
      <c r="H328" t="n">
        <v>23.43456</v>
      </c>
      <c r="I328" t="n">
        <v>23.69496</v>
      </c>
      <c r="J328" t="n">
        <v>23.95536</v>
      </c>
      <c r="K328" t="n">
        <v>23.95536</v>
      </c>
      <c r="L328" t="n">
        <v>9.172560000000001</v>
      </c>
      <c r="M328" t="n">
        <v>8.28504</v>
      </c>
      <c r="N328" t="n">
        <v>9.172560000000001</v>
      </c>
      <c r="O328" t="n">
        <v>8.87664</v>
      </c>
      <c r="P328" t="n">
        <v>9.172560000000001</v>
      </c>
      <c r="Q328" t="n">
        <v>8.87664</v>
      </c>
      <c r="R328" t="n">
        <v>9.172560000000001</v>
      </c>
      <c r="S328" t="n">
        <v>9.172560000000001</v>
      </c>
      <c r="T328" t="n">
        <v>8.87664</v>
      </c>
      <c r="U328" t="n">
        <v>9.172560000000001</v>
      </c>
      <c r="V328" t="n">
        <v>8.87664</v>
      </c>
      <c r="W328" t="n">
        <v>9.172560000000001</v>
      </c>
      <c r="X328" t="n">
        <v>0.35496</v>
      </c>
      <c r="Y328" t="n">
        <v>0.35496</v>
      </c>
      <c r="Z328" t="n">
        <v>0.35496</v>
      </c>
      <c r="AA328" t="n">
        <v>0.35496</v>
      </c>
      <c r="AB328" t="n">
        <v>0.35496</v>
      </c>
      <c r="AC328" t="n">
        <v>0.35496</v>
      </c>
      <c r="AD328" t="n">
        <v>0.35496</v>
      </c>
      <c r="AE328" t="n">
        <v>0.35496</v>
      </c>
      <c r="AF328" t="n">
        <v>0.35496</v>
      </c>
      <c r="AG328" t="n">
        <v>0.35496</v>
      </c>
      <c r="AH328" t="n">
        <v>0.35496</v>
      </c>
      <c r="AI328" t="n">
        <v>0.35496</v>
      </c>
    </row>
    <row r="329">
      <c r="A329" t="n">
        <v>79</v>
      </c>
      <c r="B329" s="13" t="n">
        <v>46388</v>
      </c>
      <c r="C329" s="13" t="n">
        <v>2958465</v>
      </c>
      <c r="D329" s="13" t="n">
        <v>46388</v>
      </c>
      <c r="E329" t="n">
        <v>1</v>
      </c>
      <c r="G329" t="n">
        <v>91.2</v>
      </c>
      <c r="H329" t="n">
        <v>24.73632</v>
      </c>
      <c r="I329" t="n">
        <v>25.01136</v>
      </c>
      <c r="J329" t="n">
        <v>25.28616</v>
      </c>
      <c r="K329" t="n">
        <v>25.28616</v>
      </c>
      <c r="L329" t="n">
        <v>9.682079999999999</v>
      </c>
      <c r="M329" t="n">
        <v>8.74512</v>
      </c>
      <c r="N329" t="n">
        <v>9.682079999999999</v>
      </c>
      <c r="O329" t="n">
        <v>9.36984</v>
      </c>
      <c r="P329" t="n">
        <v>9.682079999999999</v>
      </c>
      <c r="Q329" t="n">
        <v>9.36984</v>
      </c>
      <c r="R329" t="n">
        <v>9.682079999999999</v>
      </c>
      <c r="S329" t="n">
        <v>9.682079999999999</v>
      </c>
      <c r="T329" t="n">
        <v>9.36984</v>
      </c>
      <c r="U329" t="n">
        <v>9.682079999999999</v>
      </c>
      <c r="V329" t="n">
        <v>9.36984</v>
      </c>
      <c r="W329" t="n">
        <v>9.682079999999999</v>
      </c>
      <c r="X329" t="n">
        <v>0.37488</v>
      </c>
      <c r="Y329" t="n">
        <v>0.37488</v>
      </c>
      <c r="Z329" t="n">
        <v>0.37488</v>
      </c>
      <c r="AA329" t="n">
        <v>0.37488</v>
      </c>
      <c r="AB329" t="n">
        <v>0.37488</v>
      </c>
      <c r="AC329" t="n">
        <v>0.37488</v>
      </c>
      <c r="AD329" t="n">
        <v>0.37488</v>
      </c>
      <c r="AE329" t="n">
        <v>0.37488</v>
      </c>
      <c r="AF329" t="n">
        <v>0.37488</v>
      </c>
      <c r="AG329" t="n">
        <v>0.37488</v>
      </c>
      <c r="AH329" t="n">
        <v>0.37488</v>
      </c>
      <c r="AI329" t="n">
        <v>0.37488</v>
      </c>
    </row>
    <row r="330">
      <c r="A330" t="n">
        <v>80</v>
      </c>
      <c r="B330" s="13" t="n">
        <v>44562</v>
      </c>
      <c r="C330" s="13" t="n">
        <v>44926</v>
      </c>
      <c r="D330" s="13" t="n">
        <v>44562</v>
      </c>
      <c r="E330" t="n">
        <v>0</v>
      </c>
      <c r="F330" s="13" t="n">
        <v>44926</v>
      </c>
      <c r="G330" t="n">
        <v>86.83344</v>
      </c>
      <c r="H330" t="n">
        <v>23.55192</v>
      </c>
      <c r="I330" t="n">
        <v>23.81376</v>
      </c>
      <c r="J330" t="n">
        <v>24.07536</v>
      </c>
      <c r="K330" t="n">
        <v>24.07536</v>
      </c>
      <c r="L330" t="n">
        <v>9.218400000000001</v>
      </c>
      <c r="M330" t="n">
        <v>8.326320000000001</v>
      </c>
      <c r="N330" t="n">
        <v>9.218400000000001</v>
      </c>
      <c r="O330" t="n">
        <v>8.92104</v>
      </c>
      <c r="P330" t="n">
        <v>9.218400000000001</v>
      </c>
      <c r="Q330" t="n">
        <v>8.92104</v>
      </c>
      <c r="R330" t="n">
        <v>9.218400000000001</v>
      </c>
      <c r="S330" t="n">
        <v>9.218400000000001</v>
      </c>
      <c r="T330" t="n">
        <v>8.92104</v>
      </c>
      <c r="U330" t="n">
        <v>9.218400000000001</v>
      </c>
      <c r="V330" t="n">
        <v>8.92104</v>
      </c>
      <c r="W330" t="n">
        <v>9.218400000000001</v>
      </c>
      <c r="X330" t="n">
        <v>0.35664</v>
      </c>
      <c r="Y330" t="n">
        <v>0.35664</v>
      </c>
      <c r="Z330" t="n">
        <v>0.35664</v>
      </c>
      <c r="AA330" t="n">
        <v>0.35664</v>
      </c>
      <c r="AB330" t="n">
        <v>0.35664</v>
      </c>
      <c r="AC330" t="n">
        <v>0.35664</v>
      </c>
      <c r="AD330" t="n">
        <v>0.35664</v>
      </c>
      <c r="AE330" t="n">
        <v>0.35664</v>
      </c>
      <c r="AF330" t="n">
        <v>0.35664</v>
      </c>
      <c r="AG330" t="n">
        <v>0.35664</v>
      </c>
      <c r="AH330" t="n">
        <v>0.35664</v>
      </c>
      <c r="AI330" t="n">
        <v>0.35664</v>
      </c>
    </row>
    <row r="331">
      <c r="A331" t="n">
        <v>80</v>
      </c>
      <c r="B331" s="13" t="n">
        <v>44927</v>
      </c>
      <c r="C331" s="13" t="n">
        <v>45291</v>
      </c>
      <c r="D331" s="13" t="n">
        <v>44927</v>
      </c>
      <c r="E331" t="n">
        <v>0</v>
      </c>
      <c r="F331" s="13" t="n">
        <v>45291</v>
      </c>
      <c r="G331" t="n">
        <v>90.08280000000001</v>
      </c>
      <c r="H331" t="n">
        <v>24.4332</v>
      </c>
      <c r="I331" t="n">
        <v>24.70488</v>
      </c>
      <c r="J331" t="n">
        <v>24.97632</v>
      </c>
      <c r="K331" t="n">
        <v>24.97632</v>
      </c>
      <c r="L331" t="n">
        <v>9.56352</v>
      </c>
      <c r="M331" t="n">
        <v>8.637840000000001</v>
      </c>
      <c r="N331" t="n">
        <v>9.56352</v>
      </c>
      <c r="O331" t="n">
        <v>9.25488</v>
      </c>
      <c r="P331" t="n">
        <v>9.56352</v>
      </c>
      <c r="Q331" t="n">
        <v>9.25488</v>
      </c>
      <c r="R331" t="n">
        <v>9.56352</v>
      </c>
      <c r="S331" t="n">
        <v>9.56352</v>
      </c>
      <c r="T331" t="n">
        <v>9.25488</v>
      </c>
      <c r="U331" t="n">
        <v>9.56352</v>
      </c>
      <c r="V331" t="n">
        <v>9.25488</v>
      </c>
      <c r="W331" t="n">
        <v>9.56352</v>
      </c>
      <c r="X331" t="n">
        <v>0.37008</v>
      </c>
      <c r="Y331" t="n">
        <v>0.37008</v>
      </c>
      <c r="Z331" t="n">
        <v>0.37008</v>
      </c>
      <c r="AA331" t="n">
        <v>0.37008</v>
      </c>
      <c r="AB331" t="n">
        <v>0.37008</v>
      </c>
      <c r="AC331" t="n">
        <v>0.37008</v>
      </c>
      <c r="AD331" t="n">
        <v>0.37008</v>
      </c>
      <c r="AE331" t="n">
        <v>0.37008</v>
      </c>
      <c r="AF331" t="n">
        <v>0.37008</v>
      </c>
      <c r="AG331" t="n">
        <v>0.37008</v>
      </c>
      <c r="AH331" t="n">
        <v>0.37008</v>
      </c>
      <c r="AI331" t="n">
        <v>0.37008</v>
      </c>
    </row>
    <row r="332">
      <c r="A332" t="n">
        <v>80</v>
      </c>
      <c r="B332" s="13" t="n">
        <v>45292</v>
      </c>
      <c r="C332" s="13" t="n">
        <v>45657</v>
      </c>
      <c r="D332" s="13" t="n">
        <v>45292</v>
      </c>
      <c r="E332" t="n">
        <v>0</v>
      </c>
      <c r="F332" s="13" t="n">
        <v>45657</v>
      </c>
      <c r="G332" t="n">
        <v>173.04912</v>
      </c>
      <c r="H332" t="n">
        <v>47.32848</v>
      </c>
      <c r="I332" t="n">
        <v>47.32848</v>
      </c>
      <c r="J332" t="n">
        <v>47.84856</v>
      </c>
      <c r="K332" t="n">
        <v>47.84856</v>
      </c>
      <c r="L332" t="n">
        <v>18.32136</v>
      </c>
      <c r="M332" t="n">
        <v>17.13936</v>
      </c>
      <c r="N332" t="n">
        <v>18.32136</v>
      </c>
      <c r="O332" t="n">
        <v>17.73024</v>
      </c>
      <c r="P332" t="n">
        <v>18.32136</v>
      </c>
      <c r="Q332" t="n">
        <v>17.73024</v>
      </c>
      <c r="R332" t="n">
        <v>18.32136</v>
      </c>
      <c r="S332" t="n">
        <v>18.32136</v>
      </c>
      <c r="T332" t="n">
        <v>17.73024</v>
      </c>
      <c r="U332" t="n">
        <v>18.32136</v>
      </c>
      <c r="V332" t="n">
        <v>17.73024</v>
      </c>
      <c r="W332" t="n">
        <v>18.32136</v>
      </c>
      <c r="X332" t="n">
        <v>0.7092000000000001</v>
      </c>
      <c r="Y332" t="n">
        <v>0.7092000000000001</v>
      </c>
      <c r="Z332" t="n">
        <v>0.7092000000000001</v>
      </c>
      <c r="AA332" t="n">
        <v>0.7092000000000001</v>
      </c>
      <c r="AB332" t="n">
        <v>0.7092000000000001</v>
      </c>
      <c r="AC332" t="n">
        <v>0.7092000000000001</v>
      </c>
      <c r="AD332" t="n">
        <v>0.7092000000000001</v>
      </c>
      <c r="AE332" t="n">
        <v>0.7092000000000001</v>
      </c>
      <c r="AF332" t="n">
        <v>0.7092000000000001</v>
      </c>
      <c r="AG332" t="n">
        <v>0.7092000000000001</v>
      </c>
      <c r="AH332" t="n">
        <v>0.7092000000000001</v>
      </c>
      <c r="AI332" t="n">
        <v>0.7092000000000001</v>
      </c>
    </row>
    <row r="333">
      <c r="A333" t="n">
        <v>80</v>
      </c>
      <c r="B333" s="13" t="n">
        <v>45658</v>
      </c>
      <c r="C333" s="13" t="n">
        <v>46022</v>
      </c>
      <c r="D333" s="13" t="n">
        <v>45658</v>
      </c>
      <c r="E333" t="n">
        <v>0</v>
      </c>
      <c r="F333" s="13" t="n">
        <v>46022</v>
      </c>
      <c r="G333" t="n">
        <v>156</v>
      </c>
      <c r="H333" t="n">
        <v>42.31248</v>
      </c>
      <c r="I333" t="n">
        <v>42.78264</v>
      </c>
      <c r="J333" t="n">
        <v>43.2528</v>
      </c>
      <c r="K333" t="n">
        <v>43.2528</v>
      </c>
      <c r="L333" t="n">
        <v>16.56144</v>
      </c>
      <c r="M333" t="n">
        <v>14.95872</v>
      </c>
      <c r="N333" t="n">
        <v>16.56144</v>
      </c>
      <c r="O333" t="n">
        <v>16.0272</v>
      </c>
      <c r="P333" t="n">
        <v>16.56144</v>
      </c>
      <c r="Q333" t="n">
        <v>16.0272</v>
      </c>
      <c r="R333" t="n">
        <v>16.56144</v>
      </c>
      <c r="S333" t="n">
        <v>16.56144</v>
      </c>
      <c r="T333" t="n">
        <v>16.0272</v>
      </c>
      <c r="U333" t="n">
        <v>16.56144</v>
      </c>
      <c r="V333" t="n">
        <v>16.0272</v>
      </c>
      <c r="W333" t="n">
        <v>16.56144</v>
      </c>
      <c r="X333" t="n">
        <v>0.6410400000000001</v>
      </c>
      <c r="Y333" t="n">
        <v>0.6410400000000001</v>
      </c>
      <c r="Z333" t="n">
        <v>0.6410400000000001</v>
      </c>
      <c r="AA333" t="n">
        <v>0.6410400000000001</v>
      </c>
      <c r="AB333" t="n">
        <v>0.6410400000000001</v>
      </c>
      <c r="AC333" t="n">
        <v>0.6410400000000001</v>
      </c>
      <c r="AD333" t="n">
        <v>0.6410400000000001</v>
      </c>
      <c r="AE333" t="n">
        <v>0.6410400000000001</v>
      </c>
      <c r="AF333" t="n">
        <v>0.6410400000000001</v>
      </c>
      <c r="AG333" t="n">
        <v>0.6410400000000001</v>
      </c>
      <c r="AH333" t="n">
        <v>0.6410400000000001</v>
      </c>
      <c r="AI333" t="n">
        <v>0.6410400000000001</v>
      </c>
    </row>
    <row r="334">
      <c r="A334" t="n">
        <v>80</v>
      </c>
      <c r="B334" s="13" t="n">
        <v>46023</v>
      </c>
      <c r="C334" s="13" t="n">
        <v>46387</v>
      </c>
      <c r="D334" s="13" t="n">
        <v>46023</v>
      </c>
      <c r="E334" t="n">
        <v>0</v>
      </c>
      <c r="F334" s="13" t="n">
        <v>46387</v>
      </c>
      <c r="G334" t="n">
        <v>168</v>
      </c>
      <c r="H334" t="n">
        <v>45.56712</v>
      </c>
      <c r="I334" t="n">
        <v>46.07352</v>
      </c>
      <c r="J334" t="n">
        <v>46.57968</v>
      </c>
      <c r="K334" t="n">
        <v>46.57968</v>
      </c>
      <c r="L334" t="n">
        <v>17.8356</v>
      </c>
      <c r="M334" t="n">
        <v>16.10952</v>
      </c>
      <c r="N334" t="n">
        <v>17.8356</v>
      </c>
      <c r="O334" t="n">
        <v>17.26032</v>
      </c>
      <c r="P334" t="n">
        <v>17.8356</v>
      </c>
      <c r="Q334" t="n">
        <v>17.26032</v>
      </c>
      <c r="R334" t="n">
        <v>17.8356</v>
      </c>
      <c r="S334" t="n">
        <v>17.8356</v>
      </c>
      <c r="T334" t="n">
        <v>17.26032</v>
      </c>
      <c r="U334" t="n">
        <v>17.8356</v>
      </c>
      <c r="V334" t="n">
        <v>17.26032</v>
      </c>
      <c r="W334" t="n">
        <v>17.8356</v>
      </c>
      <c r="X334" t="n">
        <v>0.69048</v>
      </c>
      <c r="Y334" t="n">
        <v>0.69048</v>
      </c>
      <c r="Z334" t="n">
        <v>0.69048</v>
      </c>
      <c r="AA334" t="n">
        <v>0.69048</v>
      </c>
      <c r="AB334" t="n">
        <v>0.69048</v>
      </c>
      <c r="AC334" t="n">
        <v>0.69048</v>
      </c>
      <c r="AD334" t="n">
        <v>0.69048</v>
      </c>
      <c r="AE334" t="n">
        <v>0.69048</v>
      </c>
      <c r="AF334" t="n">
        <v>0.69048</v>
      </c>
      <c r="AG334" t="n">
        <v>0.69048</v>
      </c>
      <c r="AH334" t="n">
        <v>0.69048</v>
      </c>
      <c r="AI334" t="n">
        <v>0.69048</v>
      </c>
    </row>
    <row r="335">
      <c r="A335" t="n">
        <v>80</v>
      </c>
      <c r="B335" s="13" t="n">
        <v>46388</v>
      </c>
      <c r="C335" s="13" t="n">
        <v>2958465</v>
      </c>
      <c r="D335" s="13" t="n">
        <v>46388</v>
      </c>
      <c r="E335" t="n">
        <v>1</v>
      </c>
      <c r="G335" t="n">
        <v>168</v>
      </c>
      <c r="H335" t="n">
        <v>45.56712</v>
      </c>
      <c r="I335" t="n">
        <v>46.07352</v>
      </c>
      <c r="J335" t="n">
        <v>46.57968</v>
      </c>
      <c r="K335" t="n">
        <v>46.57968</v>
      </c>
      <c r="L335" t="n">
        <v>17.8356</v>
      </c>
      <c r="M335" t="n">
        <v>16.10952</v>
      </c>
      <c r="N335" t="n">
        <v>17.8356</v>
      </c>
      <c r="O335" t="n">
        <v>17.26032</v>
      </c>
      <c r="P335" t="n">
        <v>17.8356</v>
      </c>
      <c r="Q335" t="n">
        <v>17.26032</v>
      </c>
      <c r="R335" t="n">
        <v>17.8356</v>
      </c>
      <c r="S335" t="n">
        <v>17.8356</v>
      </c>
      <c r="T335" t="n">
        <v>17.26032</v>
      </c>
      <c r="U335" t="n">
        <v>17.8356</v>
      </c>
      <c r="V335" t="n">
        <v>17.26032</v>
      </c>
      <c r="W335" t="n">
        <v>17.8356</v>
      </c>
      <c r="X335" t="n">
        <v>0.69048</v>
      </c>
      <c r="Y335" t="n">
        <v>0.69048</v>
      </c>
      <c r="Z335" t="n">
        <v>0.69048</v>
      </c>
      <c r="AA335" t="n">
        <v>0.69048</v>
      </c>
      <c r="AB335" t="n">
        <v>0.69048</v>
      </c>
      <c r="AC335" t="n">
        <v>0.69048</v>
      </c>
      <c r="AD335" t="n">
        <v>0.69048</v>
      </c>
      <c r="AE335" t="n">
        <v>0.69048</v>
      </c>
      <c r="AF335" t="n">
        <v>0.69048</v>
      </c>
      <c r="AG335" t="n">
        <v>0.69048</v>
      </c>
      <c r="AH335" t="n">
        <v>0.69048</v>
      </c>
      <c r="AI335" t="n">
        <v>0.69048</v>
      </c>
    </row>
    <row r="336">
      <c r="A336" t="n">
        <v>81</v>
      </c>
      <c r="B336" s="13" t="n">
        <v>44562</v>
      </c>
      <c r="C336" s="13" t="n">
        <v>44926</v>
      </c>
      <c r="D336" s="13" t="n">
        <v>44562</v>
      </c>
      <c r="E336" t="n">
        <v>0</v>
      </c>
      <c r="F336" s="13" t="n">
        <v>44926</v>
      </c>
      <c r="G336" t="n">
        <v>3.51</v>
      </c>
      <c r="H336" t="n">
        <v>0.952</v>
      </c>
      <c r="I336" t="n">
        <v>0.963</v>
      </c>
      <c r="J336" t="n">
        <v>0.973</v>
      </c>
      <c r="K336" t="n">
        <v>0.973</v>
      </c>
      <c r="L336" t="n">
        <v>0.373</v>
      </c>
      <c r="M336" t="n">
        <v>0.337</v>
      </c>
      <c r="N336" t="n">
        <v>0.373</v>
      </c>
      <c r="O336" t="n">
        <v>0.361</v>
      </c>
      <c r="P336" t="n">
        <v>0.373</v>
      </c>
      <c r="Q336" t="n">
        <v>0.361</v>
      </c>
      <c r="R336" t="n">
        <v>0.373</v>
      </c>
      <c r="S336" t="n">
        <v>0.373</v>
      </c>
      <c r="T336" t="n">
        <v>0.361</v>
      </c>
      <c r="U336" t="n">
        <v>0.373</v>
      </c>
      <c r="V336" t="n">
        <v>0.361</v>
      </c>
      <c r="W336" t="n">
        <v>0.373</v>
      </c>
      <c r="X336" t="n">
        <v>0.013</v>
      </c>
      <c r="Y336" t="n">
        <v>0.013</v>
      </c>
      <c r="Z336" t="n">
        <v>0.013</v>
      </c>
      <c r="AA336" t="n">
        <v>0.013</v>
      </c>
      <c r="AB336" t="n">
        <v>0.013</v>
      </c>
      <c r="AC336" t="n">
        <v>0.013</v>
      </c>
      <c r="AD336" t="n">
        <v>0.013</v>
      </c>
      <c r="AE336" t="n">
        <v>0.013</v>
      </c>
      <c r="AF336" t="n">
        <v>0.013</v>
      </c>
      <c r="AG336" t="n">
        <v>0.013</v>
      </c>
      <c r="AH336" t="n">
        <v>0.013</v>
      </c>
      <c r="AI336" t="n">
        <v>0.013</v>
      </c>
    </row>
    <row r="337">
      <c r="A337" t="n">
        <v>81</v>
      </c>
      <c r="B337" s="13" t="n">
        <v>44927</v>
      </c>
      <c r="C337" s="13" t="n">
        <v>45291</v>
      </c>
      <c r="D337" s="13" t="n">
        <v>44927</v>
      </c>
      <c r="E337" t="n">
        <v>0</v>
      </c>
      <c r="F337" s="13" t="n">
        <v>45291</v>
      </c>
      <c r="G337" t="n">
        <v>6.03</v>
      </c>
      <c r="H337" t="n">
        <v>1.636</v>
      </c>
      <c r="I337" t="n">
        <v>1.654</v>
      </c>
      <c r="J337" t="n">
        <v>1.672</v>
      </c>
      <c r="K337" t="n">
        <v>1.672</v>
      </c>
      <c r="L337" t="n">
        <v>0.64</v>
      </c>
      <c r="M337" t="n">
        <v>0.578</v>
      </c>
      <c r="N337" t="n">
        <v>0.64</v>
      </c>
      <c r="O337" t="n">
        <v>0.62</v>
      </c>
      <c r="P337" t="n">
        <v>0.64</v>
      </c>
      <c r="Q337" t="n">
        <v>0.62</v>
      </c>
      <c r="R337" t="n">
        <v>0.64</v>
      </c>
      <c r="S337" t="n">
        <v>0.64</v>
      </c>
      <c r="T337" t="n">
        <v>0.62</v>
      </c>
      <c r="U337" t="n">
        <v>0.64</v>
      </c>
      <c r="V337" t="n">
        <v>0.62</v>
      </c>
      <c r="W337" t="n">
        <v>0.64</v>
      </c>
      <c r="X337" t="n">
        <v>0.023</v>
      </c>
      <c r="Y337" t="n">
        <v>0.023</v>
      </c>
      <c r="Z337" t="n">
        <v>0.023</v>
      </c>
      <c r="AA337" t="n">
        <v>0.023</v>
      </c>
      <c r="AB337" t="n">
        <v>0.023</v>
      </c>
      <c r="AC337" t="n">
        <v>0.023</v>
      </c>
      <c r="AD337" t="n">
        <v>0.023</v>
      </c>
      <c r="AE337" t="n">
        <v>0.023</v>
      </c>
      <c r="AF337" t="n">
        <v>0.023</v>
      </c>
      <c r="AG337" t="n">
        <v>0.023</v>
      </c>
      <c r="AH337" t="n">
        <v>0.023</v>
      </c>
      <c r="AI337" t="n">
        <v>0.023</v>
      </c>
    </row>
    <row r="338">
      <c r="A338" t="n">
        <v>81</v>
      </c>
      <c r="B338" s="13" t="n">
        <v>45292</v>
      </c>
      <c r="C338" s="13" t="n">
        <v>45657</v>
      </c>
      <c r="D338" s="13" t="n">
        <v>45292</v>
      </c>
      <c r="E338" t="n">
        <v>0</v>
      </c>
      <c r="F338" s="13" t="n">
        <v>45657</v>
      </c>
      <c r="G338" t="n">
        <v>5.1</v>
      </c>
      <c r="H338" t="n">
        <v>1.398658</v>
      </c>
      <c r="I338" t="n">
        <v>1.398658</v>
      </c>
      <c r="J338" t="n">
        <v>1.414027</v>
      </c>
      <c r="K338" t="n">
        <v>1.414027</v>
      </c>
      <c r="L338" t="n">
        <v>0.541438</v>
      </c>
      <c r="M338" t="n">
        <v>0.506507</v>
      </c>
      <c r="N338" t="n">
        <v>0.541438</v>
      </c>
      <c r="O338" t="n">
        <v>0.523973</v>
      </c>
      <c r="P338" t="n">
        <v>0.541438</v>
      </c>
      <c r="Q338" t="n">
        <v>0.523973</v>
      </c>
      <c r="R338" t="n">
        <v>0.541438</v>
      </c>
      <c r="S338" t="n">
        <v>0.541438</v>
      </c>
      <c r="T338" t="n">
        <v>0.523973</v>
      </c>
      <c r="U338" t="n">
        <v>0.541438</v>
      </c>
      <c r="V338" t="n">
        <v>0.523973</v>
      </c>
      <c r="W338" t="n">
        <v>0.541438</v>
      </c>
      <c r="X338" t="n">
        <v>0.019562</v>
      </c>
      <c r="Y338" t="n">
        <v>0.019562</v>
      </c>
      <c r="Z338" t="n">
        <v>0.019562</v>
      </c>
      <c r="AA338" t="n">
        <v>0.019562</v>
      </c>
      <c r="AB338" t="n">
        <v>0.019562</v>
      </c>
      <c r="AC338" t="n">
        <v>0.019562</v>
      </c>
      <c r="AD338" t="n">
        <v>0.019562</v>
      </c>
      <c r="AE338" t="n">
        <v>0.019562</v>
      </c>
      <c r="AF338" t="n">
        <v>0.019562</v>
      </c>
      <c r="AG338" t="n">
        <v>0.019562</v>
      </c>
      <c r="AH338" t="n">
        <v>0.019562</v>
      </c>
      <c r="AI338" t="n">
        <v>0.019562</v>
      </c>
    </row>
    <row r="339">
      <c r="A339" t="n">
        <v>81</v>
      </c>
      <c r="B339" s="13" t="n">
        <v>45658</v>
      </c>
      <c r="C339" s="13" t="n">
        <v>46022</v>
      </c>
      <c r="D339" s="13" t="n">
        <v>45658</v>
      </c>
      <c r="E339" t="n">
        <v>0</v>
      </c>
      <c r="F339" s="13" t="n">
        <v>46022</v>
      </c>
      <c r="G339" t="n">
        <v>6.71</v>
      </c>
      <c r="H339" t="n">
        <v>1.8199726</v>
      </c>
      <c r="I339" t="n">
        <v>1.8401945</v>
      </c>
      <c r="J339" t="n">
        <v>1.8604164</v>
      </c>
      <c r="K339" t="n">
        <v>1.8604164</v>
      </c>
      <c r="L339" t="n">
        <v>0.712363</v>
      </c>
      <c r="M339" t="n">
        <v>0.6434247</v>
      </c>
      <c r="N339" t="n">
        <v>0.712363</v>
      </c>
      <c r="O339" t="n">
        <v>0.6893836</v>
      </c>
      <c r="P339" t="n">
        <v>0.712363</v>
      </c>
      <c r="Q339" t="n">
        <v>0.6893836</v>
      </c>
      <c r="R339" t="n">
        <v>0.712363</v>
      </c>
      <c r="S339" t="n">
        <v>0.712363</v>
      </c>
      <c r="T339" t="n">
        <v>0.6893836</v>
      </c>
      <c r="U339" t="n">
        <v>0.712363</v>
      </c>
      <c r="V339" t="n">
        <v>0.6893836</v>
      </c>
      <c r="W339" t="n">
        <v>0.712363</v>
      </c>
      <c r="X339" t="n">
        <v>0.025737</v>
      </c>
      <c r="Y339" t="n">
        <v>0.025737</v>
      </c>
      <c r="Z339" t="n">
        <v>0.025737</v>
      </c>
      <c r="AA339" t="n">
        <v>0.025737</v>
      </c>
      <c r="AB339" t="n">
        <v>0.025737</v>
      </c>
      <c r="AC339" t="n">
        <v>0.025737</v>
      </c>
      <c r="AD339" t="n">
        <v>0.025737</v>
      </c>
      <c r="AE339" t="n">
        <v>0.025737</v>
      </c>
      <c r="AF339" t="n">
        <v>0.025737</v>
      </c>
      <c r="AG339" t="n">
        <v>0.025737</v>
      </c>
      <c r="AH339" t="n">
        <v>0.025737</v>
      </c>
      <c r="AI339" t="n">
        <v>0.025737</v>
      </c>
    </row>
    <row r="340">
      <c r="A340" t="n">
        <v>81</v>
      </c>
      <c r="B340" s="13" t="n">
        <v>46023</v>
      </c>
      <c r="C340" s="13" t="n">
        <v>46387</v>
      </c>
      <c r="D340" s="13" t="n">
        <v>46023</v>
      </c>
      <c r="E340" t="n">
        <v>0</v>
      </c>
      <c r="F340" s="13" t="n">
        <v>46387</v>
      </c>
      <c r="G340" t="n">
        <v>7.06</v>
      </c>
      <c r="H340" t="n">
        <v>1.9361808</v>
      </c>
      <c r="I340" t="n">
        <v>1.9361808</v>
      </c>
      <c r="J340" t="n">
        <v>1.9574575</v>
      </c>
      <c r="K340" t="n">
        <v>1.9574575</v>
      </c>
      <c r="L340" t="n">
        <v>0.7495205</v>
      </c>
      <c r="M340" t="n">
        <v>0.7011643</v>
      </c>
      <c r="N340" t="n">
        <v>0.7495205</v>
      </c>
      <c r="O340" t="n">
        <v>0.7253424000000001</v>
      </c>
      <c r="P340" t="n">
        <v>0.7495205</v>
      </c>
      <c r="Q340" t="n">
        <v>0.7253424000000001</v>
      </c>
      <c r="R340" t="n">
        <v>0.7495205</v>
      </c>
      <c r="S340" t="n">
        <v>0.7495205</v>
      </c>
      <c r="T340" t="n">
        <v>0.7253424000000001</v>
      </c>
      <c r="U340" t="n">
        <v>0.7495205</v>
      </c>
      <c r="V340" t="n">
        <v>0.7253424000000001</v>
      </c>
      <c r="W340" t="n">
        <v>0.7495205</v>
      </c>
      <c r="X340" t="n">
        <v>0.0270794</v>
      </c>
      <c r="Y340" t="n">
        <v>0.0270794</v>
      </c>
      <c r="Z340" t="n">
        <v>0.0270794</v>
      </c>
      <c r="AA340" t="n">
        <v>0.0270794</v>
      </c>
      <c r="AB340" t="n">
        <v>0.0270794</v>
      </c>
      <c r="AC340" t="n">
        <v>0.0270794</v>
      </c>
      <c r="AD340" t="n">
        <v>0.0270794</v>
      </c>
      <c r="AE340" t="n">
        <v>0.0270794</v>
      </c>
      <c r="AF340" t="n">
        <v>0.0270794</v>
      </c>
      <c r="AG340" t="n">
        <v>0.0270794</v>
      </c>
      <c r="AH340" t="n">
        <v>0.0270794</v>
      </c>
      <c r="AI340" t="n">
        <v>0.0270794</v>
      </c>
    </row>
    <row r="341">
      <c r="A341" t="n">
        <v>81</v>
      </c>
      <c r="B341" s="13" t="n">
        <v>46388</v>
      </c>
      <c r="C341" s="13" t="n">
        <v>2958465</v>
      </c>
      <c r="D341" s="13" t="n">
        <v>46388</v>
      </c>
      <c r="E341" t="n">
        <v>1</v>
      </c>
      <c r="G341" t="n">
        <v>7.31</v>
      </c>
      <c r="H341" t="n">
        <v>2.00474247</v>
      </c>
      <c r="I341" t="n">
        <v>2.00474247</v>
      </c>
      <c r="J341" t="n">
        <v>2.0267726</v>
      </c>
      <c r="K341" t="n">
        <v>2.0267726</v>
      </c>
      <c r="L341" t="n">
        <v>0.77606164</v>
      </c>
      <c r="M341" t="n">
        <v>0.72599315</v>
      </c>
      <c r="N341" t="n">
        <v>0.77606164</v>
      </c>
      <c r="O341" t="n">
        <v>0.7510274</v>
      </c>
      <c r="P341" t="n">
        <v>0.77606164</v>
      </c>
      <c r="Q341" t="n">
        <v>0.7510274</v>
      </c>
      <c r="R341" t="n">
        <v>0.77606164</v>
      </c>
      <c r="S341" t="n">
        <v>0.77606164</v>
      </c>
      <c r="T341" t="n">
        <v>0.7510274</v>
      </c>
      <c r="U341" t="n">
        <v>0.77606164</v>
      </c>
      <c r="V341" t="n">
        <v>0.7510274</v>
      </c>
      <c r="W341" t="n">
        <v>0.77606164</v>
      </c>
      <c r="X341" t="n">
        <v>0.02803836</v>
      </c>
      <c r="Y341" t="n">
        <v>0.02803836</v>
      </c>
      <c r="Z341" t="n">
        <v>0.02803836</v>
      </c>
      <c r="AA341" t="n">
        <v>0.02803836</v>
      </c>
      <c r="AB341" t="n">
        <v>0.02803836</v>
      </c>
      <c r="AC341" t="n">
        <v>0.02803836</v>
      </c>
      <c r="AD341" t="n">
        <v>0.02803836</v>
      </c>
      <c r="AE341" t="n">
        <v>0.02803836</v>
      </c>
      <c r="AF341" t="n">
        <v>0.02803836</v>
      </c>
      <c r="AG341" t="n">
        <v>0.02803836</v>
      </c>
      <c r="AH341" t="n">
        <v>0.02803836</v>
      </c>
      <c r="AI341" t="n">
        <v>0.02803836</v>
      </c>
    </row>
    <row r="342">
      <c r="A342" t="n">
        <v>82</v>
      </c>
      <c r="B342" s="13" t="n">
        <v>44562</v>
      </c>
      <c r="C342" s="13" t="n">
        <v>44926</v>
      </c>
      <c r="D342" s="13" t="n">
        <v>44562</v>
      </c>
      <c r="E342" t="n">
        <v>0</v>
      </c>
      <c r="F342" s="13" t="n">
        <v>44926</v>
      </c>
      <c r="G342" t="n">
        <v>3.51</v>
      </c>
      <c r="H342" t="n">
        <v>0.952</v>
      </c>
      <c r="I342" t="n">
        <v>0.963</v>
      </c>
      <c r="J342" t="n">
        <v>0.973</v>
      </c>
      <c r="K342" t="n">
        <v>0.973</v>
      </c>
      <c r="L342" t="n">
        <v>0.373</v>
      </c>
      <c r="M342" t="n">
        <v>0.337</v>
      </c>
      <c r="N342" t="n">
        <v>0.373</v>
      </c>
      <c r="O342" t="n">
        <v>0.361</v>
      </c>
      <c r="P342" t="n">
        <v>0.373</v>
      </c>
      <c r="Q342" t="n">
        <v>0.361</v>
      </c>
      <c r="R342" t="n">
        <v>0.373</v>
      </c>
      <c r="S342" t="n">
        <v>0.373</v>
      </c>
      <c r="T342" t="n">
        <v>0.361</v>
      </c>
      <c r="U342" t="n">
        <v>0.373</v>
      </c>
      <c r="V342" t="n">
        <v>0.361</v>
      </c>
      <c r="W342" t="n">
        <v>0.373</v>
      </c>
      <c r="X342" t="n">
        <v>0.013</v>
      </c>
      <c r="Y342" t="n">
        <v>0.013</v>
      </c>
      <c r="Z342" t="n">
        <v>0.013</v>
      </c>
      <c r="AA342" t="n">
        <v>0.013</v>
      </c>
      <c r="AB342" t="n">
        <v>0.013</v>
      </c>
      <c r="AC342" t="n">
        <v>0.013</v>
      </c>
      <c r="AD342" t="n">
        <v>0.013</v>
      </c>
      <c r="AE342" t="n">
        <v>0.013</v>
      </c>
      <c r="AF342" t="n">
        <v>0.013</v>
      </c>
      <c r="AG342" t="n">
        <v>0.013</v>
      </c>
      <c r="AH342" t="n">
        <v>0.013</v>
      </c>
      <c r="AI342" t="n">
        <v>0.013</v>
      </c>
    </row>
    <row r="343">
      <c r="A343" t="n">
        <v>82</v>
      </c>
      <c r="B343" s="13" t="n">
        <v>44927</v>
      </c>
      <c r="C343" s="13" t="n">
        <v>45291</v>
      </c>
      <c r="D343" s="13" t="n">
        <v>44927</v>
      </c>
      <c r="E343" t="n">
        <v>0</v>
      </c>
      <c r="F343" s="13" t="n">
        <v>45291</v>
      </c>
      <c r="G343" t="n">
        <v>6.03</v>
      </c>
      <c r="H343" t="n">
        <v>1.636</v>
      </c>
      <c r="I343" t="n">
        <v>1.654</v>
      </c>
      <c r="J343" t="n">
        <v>1.672</v>
      </c>
      <c r="K343" t="n">
        <v>1.672</v>
      </c>
      <c r="L343" t="n">
        <v>0.64</v>
      </c>
      <c r="M343" t="n">
        <v>0.578</v>
      </c>
      <c r="N343" t="n">
        <v>0.64</v>
      </c>
      <c r="O343" t="n">
        <v>0.62</v>
      </c>
      <c r="P343" t="n">
        <v>0.64</v>
      </c>
      <c r="Q343" t="n">
        <v>0.62</v>
      </c>
      <c r="R343" t="n">
        <v>0.64</v>
      </c>
      <c r="S343" t="n">
        <v>0.64</v>
      </c>
      <c r="T343" t="n">
        <v>0.62</v>
      </c>
      <c r="U343" t="n">
        <v>0.64</v>
      </c>
      <c r="V343" t="n">
        <v>0.62</v>
      </c>
      <c r="W343" t="n">
        <v>0.64</v>
      </c>
      <c r="X343" t="n">
        <v>0.023</v>
      </c>
      <c r="Y343" t="n">
        <v>0.023</v>
      </c>
      <c r="Z343" t="n">
        <v>0.023</v>
      </c>
      <c r="AA343" t="n">
        <v>0.023</v>
      </c>
      <c r="AB343" t="n">
        <v>0.023</v>
      </c>
      <c r="AC343" t="n">
        <v>0.023</v>
      </c>
      <c r="AD343" t="n">
        <v>0.023</v>
      </c>
      <c r="AE343" t="n">
        <v>0.023</v>
      </c>
      <c r="AF343" t="n">
        <v>0.023</v>
      </c>
      <c r="AG343" t="n">
        <v>0.023</v>
      </c>
      <c r="AH343" t="n">
        <v>0.023</v>
      </c>
      <c r="AI343" t="n">
        <v>0.023</v>
      </c>
    </row>
    <row r="344">
      <c r="A344" t="n">
        <v>82</v>
      </c>
      <c r="B344" s="13" t="n">
        <v>45292</v>
      </c>
      <c r="C344" s="13" t="n">
        <v>45657</v>
      </c>
      <c r="D344" s="13" t="n">
        <v>45292</v>
      </c>
      <c r="E344" t="n">
        <v>0</v>
      </c>
      <c r="F344" s="13" t="n">
        <v>45657</v>
      </c>
      <c r="G344" t="n">
        <v>5.1</v>
      </c>
      <c r="H344" t="n">
        <v>1.398658</v>
      </c>
      <c r="I344" t="n">
        <v>1.398658</v>
      </c>
      <c r="J344" t="n">
        <v>1.414027</v>
      </c>
      <c r="K344" t="n">
        <v>1.414027</v>
      </c>
      <c r="L344" t="n">
        <v>0.541438</v>
      </c>
      <c r="M344" t="n">
        <v>0.506507</v>
      </c>
      <c r="N344" t="n">
        <v>0.541438</v>
      </c>
      <c r="O344" t="n">
        <v>0.523973</v>
      </c>
      <c r="P344" t="n">
        <v>0.541438</v>
      </c>
      <c r="Q344" t="n">
        <v>0.523973</v>
      </c>
      <c r="R344" t="n">
        <v>0.541438</v>
      </c>
      <c r="S344" t="n">
        <v>0.541438</v>
      </c>
      <c r="T344" t="n">
        <v>0.523973</v>
      </c>
      <c r="U344" t="n">
        <v>0.541438</v>
      </c>
      <c r="V344" t="n">
        <v>0.523973</v>
      </c>
      <c r="W344" t="n">
        <v>0.541438</v>
      </c>
      <c r="X344" t="n">
        <v>0.019562</v>
      </c>
      <c r="Y344" t="n">
        <v>0.019562</v>
      </c>
      <c r="Z344" t="n">
        <v>0.019562</v>
      </c>
      <c r="AA344" t="n">
        <v>0.019562</v>
      </c>
      <c r="AB344" t="n">
        <v>0.019562</v>
      </c>
      <c r="AC344" t="n">
        <v>0.019562</v>
      </c>
      <c r="AD344" t="n">
        <v>0.019562</v>
      </c>
      <c r="AE344" t="n">
        <v>0.019562</v>
      </c>
      <c r="AF344" t="n">
        <v>0.019562</v>
      </c>
      <c r="AG344" t="n">
        <v>0.019562</v>
      </c>
      <c r="AH344" t="n">
        <v>0.019562</v>
      </c>
      <c r="AI344" t="n">
        <v>0.019562</v>
      </c>
    </row>
    <row r="345">
      <c r="A345" t="n">
        <v>82</v>
      </c>
      <c r="B345" s="13" t="n">
        <v>45658</v>
      </c>
      <c r="C345" s="13" t="n">
        <v>46022</v>
      </c>
      <c r="D345" s="13" t="n">
        <v>45658</v>
      </c>
      <c r="E345" t="n">
        <v>0</v>
      </c>
      <c r="F345" s="13" t="n">
        <v>46022</v>
      </c>
      <c r="G345" t="n">
        <v>6.71</v>
      </c>
      <c r="H345" t="n">
        <v>1.8199726</v>
      </c>
      <c r="I345" t="n">
        <v>1.8401945</v>
      </c>
      <c r="J345" t="n">
        <v>1.8604164</v>
      </c>
      <c r="K345" t="n">
        <v>1.8604164</v>
      </c>
      <c r="L345" t="n">
        <v>0.712363</v>
      </c>
      <c r="M345" t="n">
        <v>0.6434247</v>
      </c>
      <c r="N345" t="n">
        <v>0.712363</v>
      </c>
      <c r="O345" t="n">
        <v>0.6893836</v>
      </c>
      <c r="P345" t="n">
        <v>0.712363</v>
      </c>
      <c r="Q345" t="n">
        <v>0.6893836</v>
      </c>
      <c r="R345" t="n">
        <v>0.712363</v>
      </c>
      <c r="S345" t="n">
        <v>0.712363</v>
      </c>
      <c r="T345" t="n">
        <v>0.6893836</v>
      </c>
      <c r="U345" t="n">
        <v>0.712363</v>
      </c>
      <c r="V345" t="n">
        <v>0.6893836</v>
      </c>
      <c r="W345" t="n">
        <v>0.712363</v>
      </c>
      <c r="X345" t="n">
        <v>0.025737</v>
      </c>
      <c r="Y345" t="n">
        <v>0.025737</v>
      </c>
      <c r="Z345" t="n">
        <v>0.025737</v>
      </c>
      <c r="AA345" t="n">
        <v>0.025737</v>
      </c>
      <c r="AB345" t="n">
        <v>0.025737</v>
      </c>
      <c r="AC345" t="n">
        <v>0.025737</v>
      </c>
      <c r="AD345" t="n">
        <v>0.025737</v>
      </c>
      <c r="AE345" t="n">
        <v>0.025737</v>
      </c>
      <c r="AF345" t="n">
        <v>0.025737</v>
      </c>
      <c r="AG345" t="n">
        <v>0.025737</v>
      </c>
      <c r="AH345" t="n">
        <v>0.025737</v>
      </c>
      <c r="AI345" t="n">
        <v>0.025737</v>
      </c>
    </row>
    <row r="346">
      <c r="A346" t="n">
        <v>82</v>
      </c>
      <c r="B346" s="13" t="n">
        <v>46023</v>
      </c>
      <c r="C346" s="13" t="n">
        <v>46387</v>
      </c>
      <c r="D346" s="13" t="n">
        <v>46023</v>
      </c>
      <c r="E346" t="n">
        <v>0</v>
      </c>
      <c r="F346" s="13" t="n">
        <v>46387</v>
      </c>
      <c r="G346" t="n">
        <v>7.06</v>
      </c>
      <c r="H346" t="n">
        <v>1.9361808</v>
      </c>
      <c r="I346" t="n">
        <v>1.9361808</v>
      </c>
      <c r="J346" t="n">
        <v>1.9574575</v>
      </c>
      <c r="K346" t="n">
        <v>1.9574575</v>
      </c>
      <c r="L346" t="n">
        <v>0.7495205</v>
      </c>
      <c r="M346" t="n">
        <v>0.7011643</v>
      </c>
      <c r="N346" t="n">
        <v>0.7495205</v>
      </c>
      <c r="O346" t="n">
        <v>0.7253424000000001</v>
      </c>
      <c r="P346" t="n">
        <v>0.7495205</v>
      </c>
      <c r="Q346" t="n">
        <v>0.7253424000000001</v>
      </c>
      <c r="R346" t="n">
        <v>0.7495205</v>
      </c>
      <c r="S346" t="n">
        <v>0.7495205</v>
      </c>
      <c r="T346" t="n">
        <v>0.7253424000000001</v>
      </c>
      <c r="U346" t="n">
        <v>0.7495205</v>
      </c>
      <c r="V346" t="n">
        <v>0.7253424000000001</v>
      </c>
      <c r="W346" t="n">
        <v>0.7495205</v>
      </c>
      <c r="X346" t="n">
        <v>0.0270794</v>
      </c>
      <c r="Y346" t="n">
        <v>0.0270794</v>
      </c>
      <c r="Z346" t="n">
        <v>0.0270794</v>
      </c>
      <c r="AA346" t="n">
        <v>0.0270794</v>
      </c>
      <c r="AB346" t="n">
        <v>0.0270794</v>
      </c>
      <c r="AC346" t="n">
        <v>0.0270794</v>
      </c>
      <c r="AD346" t="n">
        <v>0.0270794</v>
      </c>
      <c r="AE346" t="n">
        <v>0.0270794</v>
      </c>
      <c r="AF346" t="n">
        <v>0.0270794</v>
      </c>
      <c r="AG346" t="n">
        <v>0.0270794</v>
      </c>
      <c r="AH346" t="n">
        <v>0.0270794</v>
      </c>
      <c r="AI346" t="n">
        <v>0.0270794</v>
      </c>
    </row>
    <row r="347">
      <c r="A347" t="n">
        <v>82</v>
      </c>
      <c r="B347" s="13" t="n">
        <v>46388</v>
      </c>
      <c r="C347" s="13" t="n">
        <v>2958465</v>
      </c>
      <c r="D347" s="13" t="n">
        <v>46388</v>
      </c>
      <c r="E347" t="n">
        <v>1</v>
      </c>
      <c r="G347" t="n">
        <v>7.31</v>
      </c>
      <c r="H347" t="n">
        <v>2.00474247</v>
      </c>
      <c r="I347" t="n">
        <v>2.00474247</v>
      </c>
      <c r="J347" t="n">
        <v>2.0267726</v>
      </c>
      <c r="K347" t="n">
        <v>2.0267726</v>
      </c>
      <c r="L347" t="n">
        <v>0.77606164</v>
      </c>
      <c r="M347" t="n">
        <v>0.72599315</v>
      </c>
      <c r="N347" t="n">
        <v>0.77606164</v>
      </c>
      <c r="O347" t="n">
        <v>0.7510274</v>
      </c>
      <c r="P347" t="n">
        <v>0.77606164</v>
      </c>
      <c r="Q347" t="n">
        <v>0.7510274</v>
      </c>
      <c r="R347" t="n">
        <v>0.77606164</v>
      </c>
      <c r="S347" t="n">
        <v>0.77606164</v>
      </c>
      <c r="T347" t="n">
        <v>0.7510274</v>
      </c>
      <c r="U347" t="n">
        <v>0.77606164</v>
      </c>
      <c r="V347" t="n">
        <v>0.7510274</v>
      </c>
      <c r="W347" t="n">
        <v>0.77606164</v>
      </c>
      <c r="X347" t="n">
        <v>0.02803836</v>
      </c>
      <c r="Y347" t="n">
        <v>0.02803836</v>
      </c>
      <c r="Z347" t="n">
        <v>0.02803836</v>
      </c>
      <c r="AA347" t="n">
        <v>0.02803836</v>
      </c>
      <c r="AB347" t="n">
        <v>0.02803836</v>
      </c>
      <c r="AC347" t="n">
        <v>0.02803836</v>
      </c>
      <c r="AD347" t="n">
        <v>0.02803836</v>
      </c>
      <c r="AE347" t="n">
        <v>0.02803836</v>
      </c>
      <c r="AF347" t="n">
        <v>0.02803836</v>
      </c>
      <c r="AG347" t="n">
        <v>0.02803836</v>
      </c>
      <c r="AH347" t="n">
        <v>0.02803836</v>
      </c>
      <c r="AI347" t="n">
        <v>0.02803836</v>
      </c>
    </row>
    <row r="348">
      <c r="A348" t="n">
        <v>83</v>
      </c>
      <c r="B348" s="13" t="n">
        <v>45658</v>
      </c>
      <c r="C348" s="13" t="n">
        <v>46022</v>
      </c>
      <c r="D348" s="13" t="n">
        <v>45658</v>
      </c>
      <c r="E348" t="n">
        <v>0</v>
      </c>
      <c r="F348" s="13" t="n">
        <v>46022</v>
      </c>
      <c r="G348" t="n">
        <v>0.3249</v>
      </c>
      <c r="H348" t="n">
        <v>0.132185</v>
      </c>
      <c r="I348" t="n">
        <v>0.06358999999999999</v>
      </c>
      <c r="J348" t="n">
        <v>0.057734</v>
      </c>
      <c r="K348" t="n">
        <v>0.126937</v>
      </c>
      <c r="L348" t="n">
        <v>0.062465</v>
      </c>
      <c r="M348" t="n">
        <v>0.045332</v>
      </c>
      <c r="N348" t="n">
        <v>0.041849</v>
      </c>
      <c r="O348" t="n">
        <v>0.027786</v>
      </c>
      <c r="P348" t="n">
        <v>0.022309</v>
      </c>
      <c r="Q348" t="n">
        <v>0.017396</v>
      </c>
      <c r="R348" t="n">
        <v>0.018428</v>
      </c>
      <c r="S348" t="n">
        <v>0.021007</v>
      </c>
      <c r="T348" t="n">
        <v>0.022749</v>
      </c>
      <c r="U348" t="n">
        <v>0.041512</v>
      </c>
      <c r="V348" t="n">
        <v>0.048858</v>
      </c>
      <c r="W348" t="n">
        <v>0.061794</v>
      </c>
      <c r="X348" t="n">
        <v>0.003875</v>
      </c>
      <c r="Y348" t="n">
        <v>0.003113</v>
      </c>
      <c r="Z348" t="n">
        <v>0.002596</v>
      </c>
      <c r="AA348" t="n">
        <v>0.001781</v>
      </c>
      <c r="AB348" t="n">
        <v>0.001384</v>
      </c>
      <c r="AC348" t="n">
        <v>0.001115</v>
      </c>
      <c r="AD348" t="n">
        <v>0.001143</v>
      </c>
      <c r="AE348" t="n">
        <v>0.001303</v>
      </c>
      <c r="AF348" t="n">
        <v>0.001458</v>
      </c>
      <c r="AG348" t="n">
        <v>0.002575</v>
      </c>
      <c r="AH348" t="n">
        <v>0.003132</v>
      </c>
      <c r="AI348" t="n">
        <v>0.003833</v>
      </c>
    </row>
    <row r="349">
      <c r="A349" t="n">
        <v>83</v>
      </c>
      <c r="B349" s="13" t="n">
        <v>46023</v>
      </c>
      <c r="C349" s="13" t="n">
        <v>46387</v>
      </c>
      <c r="D349" s="13" t="n">
        <v>46023</v>
      </c>
      <c r="E349" t="n">
        <v>0</v>
      </c>
      <c r="F349" s="13" t="n">
        <v>46387</v>
      </c>
      <c r="G349" t="n">
        <v>0.3568</v>
      </c>
      <c r="H349" t="n">
        <v>0.145164</v>
      </c>
      <c r="I349" t="n">
        <v>0.084511</v>
      </c>
      <c r="J349" t="n">
        <v>0.09893</v>
      </c>
      <c r="K349" t="n">
        <v>0.14839</v>
      </c>
      <c r="L349" t="n">
        <v>0.063638</v>
      </c>
      <c r="M349" t="n">
        <v>0.046531</v>
      </c>
      <c r="N349" t="n">
        <v>0.042424</v>
      </c>
      <c r="O349" t="n">
        <v>0.03226</v>
      </c>
      <c r="P349" t="n">
        <v>0.027272</v>
      </c>
      <c r="Q349" t="n">
        <v>0.024925</v>
      </c>
      <c r="R349" t="n">
        <v>0.02879</v>
      </c>
      <c r="S349" t="n">
        <v>0.030302</v>
      </c>
      <c r="T349" t="n">
        <v>0.035192</v>
      </c>
      <c r="U349" t="n">
        <v>0.042424</v>
      </c>
      <c r="V349" t="n">
        <v>0.049855</v>
      </c>
      <c r="W349" t="n">
        <v>0.063638</v>
      </c>
      <c r="X349" t="n">
        <v>0.003948</v>
      </c>
      <c r="Y349" t="n">
        <v>0.003196</v>
      </c>
      <c r="Z349" t="n">
        <v>0.002632</v>
      </c>
      <c r="AA349" t="n">
        <v>0.002068</v>
      </c>
      <c r="AB349" t="n">
        <v>0.001692</v>
      </c>
      <c r="AC349" t="n">
        <v>0.001598</v>
      </c>
      <c r="AD349" t="n">
        <v>0.001786</v>
      </c>
      <c r="AE349" t="n">
        <v>0.00188</v>
      </c>
      <c r="AF349" t="n">
        <v>0.002256</v>
      </c>
      <c r="AG349" t="n">
        <v>0.002632</v>
      </c>
      <c r="AH349" t="n">
        <v>0.003196</v>
      </c>
      <c r="AI349" t="n">
        <v>0.003948</v>
      </c>
    </row>
    <row r="350">
      <c r="A350" t="n">
        <v>83</v>
      </c>
      <c r="B350" s="13" t="n">
        <v>46388</v>
      </c>
      <c r="C350" s="13" t="n">
        <v>46752</v>
      </c>
      <c r="D350" s="13" t="n">
        <v>46388</v>
      </c>
      <c r="E350" t="n">
        <v>0</v>
      </c>
      <c r="F350" s="13" t="n">
        <v>46752</v>
      </c>
      <c r="G350" t="n">
        <v>0.3203</v>
      </c>
      <c r="H350" t="n">
        <v>0.13031384</v>
      </c>
      <c r="I350" t="n">
        <v>0.07586603</v>
      </c>
      <c r="J350" t="n">
        <v>0.08880970000000001</v>
      </c>
      <c r="K350" t="n">
        <v>0.1332097</v>
      </c>
      <c r="L350" t="n">
        <v>0.05712802</v>
      </c>
      <c r="M350" t="n">
        <v>0.04177088</v>
      </c>
      <c r="N350" t="n">
        <v>0.03808417</v>
      </c>
      <c r="O350" t="n">
        <v>0.02896021</v>
      </c>
      <c r="P350" t="n">
        <v>0.02448293</v>
      </c>
      <c r="Q350" t="n">
        <v>0.02237554</v>
      </c>
      <c r="R350" t="n">
        <v>0.02584447</v>
      </c>
      <c r="S350" t="n">
        <v>0.02720247</v>
      </c>
      <c r="T350" t="n">
        <v>0.03159202</v>
      </c>
      <c r="U350" t="n">
        <v>0.03808417</v>
      </c>
      <c r="V350" t="n">
        <v>0.04475451</v>
      </c>
      <c r="W350" t="n">
        <v>0.05712802</v>
      </c>
      <c r="X350" t="n">
        <v>0.00354392</v>
      </c>
      <c r="Y350" t="n">
        <v>0.00286888</v>
      </c>
      <c r="Z350" t="n">
        <v>0.00236254</v>
      </c>
      <c r="AA350" t="n">
        <v>0.00185642</v>
      </c>
      <c r="AB350" t="n">
        <v>0.00151879</v>
      </c>
      <c r="AC350" t="n">
        <v>0.00143433</v>
      </c>
      <c r="AD350" t="n">
        <v>0.00160326</v>
      </c>
      <c r="AE350" t="n">
        <v>0.0016875</v>
      </c>
      <c r="AF350" t="n">
        <v>0.00202513</v>
      </c>
      <c r="AG350" t="n">
        <v>0.00236254</v>
      </c>
      <c r="AH350" t="n">
        <v>0.00286888</v>
      </c>
      <c r="AI350" t="n">
        <v>0.00354392</v>
      </c>
    </row>
    <row r="351">
      <c r="A351" t="n">
        <v>83</v>
      </c>
      <c r="B351" s="13" t="n">
        <v>46753</v>
      </c>
      <c r="C351" s="13" t="n">
        <v>47118</v>
      </c>
      <c r="D351" s="13" t="n">
        <v>46753</v>
      </c>
      <c r="E351" t="n">
        <v>0</v>
      </c>
      <c r="F351" s="13" t="n">
        <v>47118</v>
      </c>
      <c r="G351" t="n">
        <v>0.2658</v>
      </c>
      <c r="H351" t="n">
        <v>0.10814055</v>
      </c>
      <c r="I351" t="n">
        <v>0.0629572</v>
      </c>
      <c r="J351" t="n">
        <v>0.07369845999999999</v>
      </c>
      <c r="K351" t="n">
        <v>0.11054367</v>
      </c>
      <c r="L351" t="n">
        <v>0.04740752</v>
      </c>
      <c r="M351" t="n">
        <v>0.03466344</v>
      </c>
      <c r="N351" t="n">
        <v>0.03160404</v>
      </c>
      <c r="O351" t="n">
        <v>0.02403254</v>
      </c>
      <c r="P351" t="n">
        <v>0.02031709</v>
      </c>
      <c r="Q351" t="n">
        <v>0.01856828</v>
      </c>
      <c r="R351" t="n">
        <v>0.02144696</v>
      </c>
      <c r="S351" t="n">
        <v>0.02257389</v>
      </c>
      <c r="T351" t="n">
        <v>0.02621655</v>
      </c>
      <c r="U351" t="n">
        <v>0.03160404</v>
      </c>
      <c r="V351" t="n">
        <v>0.0371394</v>
      </c>
      <c r="W351" t="n">
        <v>0.04740752</v>
      </c>
      <c r="X351" t="n">
        <v>0.00294091</v>
      </c>
      <c r="Y351" t="n">
        <v>0.00238073</v>
      </c>
      <c r="Z351" t="n">
        <v>0.00196055</v>
      </c>
      <c r="AA351" t="n">
        <v>0.00154055</v>
      </c>
      <c r="AB351" t="n">
        <v>0.00126037</v>
      </c>
      <c r="AC351" t="n">
        <v>0.00119027</v>
      </c>
      <c r="AD351" t="n">
        <v>0.00133046</v>
      </c>
      <c r="AE351" t="n">
        <v>0.00140037</v>
      </c>
      <c r="AF351" t="n">
        <v>0.00168055</v>
      </c>
      <c r="AG351" t="n">
        <v>0.00196055</v>
      </c>
      <c r="AH351" t="n">
        <v>0.00238073</v>
      </c>
      <c r="AI351" t="n">
        <v>0.00294091</v>
      </c>
    </row>
    <row r="352">
      <c r="A352" t="n">
        <v>83</v>
      </c>
      <c r="B352" s="13" t="n">
        <v>47119</v>
      </c>
      <c r="C352" s="13" t="n">
        <v>47483</v>
      </c>
      <c r="D352" s="13" t="n">
        <v>47119</v>
      </c>
      <c r="E352" t="n">
        <v>0</v>
      </c>
      <c r="F352" s="13" t="n">
        <v>47483</v>
      </c>
      <c r="G352" t="n">
        <v>0.2231</v>
      </c>
      <c r="H352" t="n">
        <v>0.09076808</v>
      </c>
      <c r="I352" t="n">
        <v>0.05284331</v>
      </c>
      <c r="J352" t="n">
        <v>0.06185902</v>
      </c>
      <c r="K352" t="n">
        <v>0.09278515</v>
      </c>
      <c r="L352" t="n">
        <v>0.03979164</v>
      </c>
      <c r="M352" t="n">
        <v>0.02909486</v>
      </c>
      <c r="N352" t="n">
        <v>0.02652694</v>
      </c>
      <c r="O352" t="n">
        <v>0.02017179</v>
      </c>
      <c r="P352" t="n">
        <v>0.01705321</v>
      </c>
      <c r="Q352" t="n">
        <v>0.01558534</v>
      </c>
      <c r="R352" t="n">
        <v>0.01800157</v>
      </c>
      <c r="S352" t="n">
        <v>0.01894746</v>
      </c>
      <c r="T352" t="n">
        <v>0.02200493</v>
      </c>
      <c r="U352" t="n">
        <v>0.02652694</v>
      </c>
      <c r="V352" t="n">
        <v>0.03117306</v>
      </c>
      <c r="W352" t="n">
        <v>0.03979164</v>
      </c>
      <c r="X352" t="n">
        <v>0.00246846</v>
      </c>
      <c r="Y352" t="n">
        <v>0.00199827</v>
      </c>
      <c r="Z352" t="n">
        <v>0.00164559</v>
      </c>
      <c r="AA352" t="n">
        <v>0.00129306</v>
      </c>
      <c r="AB352" t="n">
        <v>0.00105789</v>
      </c>
      <c r="AC352" t="n">
        <v>0.00099906</v>
      </c>
      <c r="AD352" t="n">
        <v>0.00111672</v>
      </c>
      <c r="AE352" t="n">
        <v>0.0011754</v>
      </c>
      <c r="AF352" t="n">
        <v>0.00141057</v>
      </c>
      <c r="AG352" t="n">
        <v>0.00164559</v>
      </c>
      <c r="AH352" t="n">
        <v>0.00199827</v>
      </c>
      <c r="AI352" t="n">
        <v>0.00246846</v>
      </c>
    </row>
    <row r="353">
      <c r="A353" t="n">
        <v>83</v>
      </c>
      <c r="B353" s="13" t="n">
        <v>47484</v>
      </c>
      <c r="C353" s="13" t="n">
        <v>2958465</v>
      </c>
      <c r="D353" s="13" t="n">
        <v>47484</v>
      </c>
      <c r="E353" t="n">
        <v>1</v>
      </c>
      <c r="G353" t="n">
        <v>0.2306</v>
      </c>
      <c r="H353" t="n">
        <v>0.09381945</v>
      </c>
      <c r="I353" t="n">
        <v>0.05461975</v>
      </c>
      <c r="J353" t="n">
        <v>0.06393854</v>
      </c>
      <c r="K353" t="n">
        <v>0.09590433</v>
      </c>
      <c r="L353" t="n">
        <v>0.04112932</v>
      </c>
      <c r="M353" t="n">
        <v>0.03007294</v>
      </c>
      <c r="N353" t="n">
        <v>0.0274187</v>
      </c>
      <c r="O353" t="n">
        <v>0.0208499</v>
      </c>
      <c r="P353" t="n">
        <v>0.01762649</v>
      </c>
      <c r="Q353" t="n">
        <v>0.01610927</v>
      </c>
      <c r="R353" t="n">
        <v>0.01860673</v>
      </c>
      <c r="S353" t="n">
        <v>0.01958442</v>
      </c>
      <c r="T353" t="n">
        <v>0.02274468</v>
      </c>
      <c r="U353" t="n">
        <v>0.0274187</v>
      </c>
      <c r="V353" t="n">
        <v>0.03222101</v>
      </c>
      <c r="W353" t="n">
        <v>0.04112932</v>
      </c>
      <c r="X353" t="n">
        <v>0.00255145</v>
      </c>
      <c r="Y353" t="n">
        <v>0.00206545</v>
      </c>
      <c r="Z353" t="n">
        <v>0.00170091</v>
      </c>
      <c r="AA353" t="n">
        <v>0.00133653</v>
      </c>
      <c r="AB353" t="n">
        <v>0.00109345</v>
      </c>
      <c r="AC353" t="n">
        <v>0.00103265</v>
      </c>
      <c r="AD353" t="n">
        <v>0.00115426</v>
      </c>
      <c r="AE353" t="n">
        <v>0.00121491</v>
      </c>
      <c r="AF353" t="n">
        <v>0.00145799</v>
      </c>
      <c r="AG353" t="n">
        <v>0.00170091</v>
      </c>
      <c r="AH353" t="n">
        <v>0.00206545</v>
      </c>
      <c r="AI353" t="n">
        <v>0.00255145</v>
      </c>
    </row>
    <row r="354">
      <c r="A354" t="n">
        <v>84</v>
      </c>
      <c r="B354" s="13" t="n">
        <v>45658</v>
      </c>
      <c r="C354" s="13" t="n">
        <v>46022</v>
      </c>
      <c r="D354" s="13" t="n">
        <v>45658</v>
      </c>
      <c r="E354" t="n">
        <v>0</v>
      </c>
      <c r="F354" s="13" t="n">
        <v>46022</v>
      </c>
      <c r="G354" t="n">
        <v>0.3249</v>
      </c>
      <c r="H354" t="n">
        <v>0.132185</v>
      </c>
      <c r="I354" t="n">
        <v>0.06358999999999999</v>
      </c>
      <c r="J354" t="n">
        <v>0.057734</v>
      </c>
      <c r="K354" t="n">
        <v>0.126937</v>
      </c>
      <c r="L354" t="n">
        <v>0.062465</v>
      </c>
      <c r="M354" t="n">
        <v>0.045332</v>
      </c>
      <c r="N354" t="n">
        <v>0.041849</v>
      </c>
      <c r="O354" t="n">
        <v>0.027786</v>
      </c>
      <c r="P354" t="n">
        <v>0.022309</v>
      </c>
      <c r="Q354" t="n">
        <v>0.017396</v>
      </c>
      <c r="R354" t="n">
        <v>0.018428</v>
      </c>
      <c r="S354" t="n">
        <v>0.021007</v>
      </c>
      <c r="T354" t="n">
        <v>0.022749</v>
      </c>
      <c r="U354" t="n">
        <v>0.041512</v>
      </c>
      <c r="V354" t="n">
        <v>0.048858</v>
      </c>
      <c r="W354" t="n">
        <v>0.061794</v>
      </c>
      <c r="X354" t="n">
        <v>0.003875</v>
      </c>
      <c r="Y354" t="n">
        <v>0.003113</v>
      </c>
      <c r="Z354" t="n">
        <v>0.002596</v>
      </c>
      <c r="AA354" t="n">
        <v>0.001781</v>
      </c>
      <c r="AB354" t="n">
        <v>0.001384</v>
      </c>
      <c r="AC354" t="n">
        <v>0.001115</v>
      </c>
      <c r="AD354" t="n">
        <v>0.001143</v>
      </c>
      <c r="AE354" t="n">
        <v>0.001303</v>
      </c>
      <c r="AF354" t="n">
        <v>0.001458</v>
      </c>
      <c r="AG354" t="n">
        <v>0.002575</v>
      </c>
      <c r="AH354" t="n">
        <v>0.003132</v>
      </c>
      <c r="AI354" t="n">
        <v>0.003833</v>
      </c>
    </row>
    <row r="355">
      <c r="A355" t="n">
        <v>84</v>
      </c>
      <c r="B355" s="13" t="n">
        <v>46023</v>
      </c>
      <c r="C355" s="13" t="n">
        <v>46387</v>
      </c>
      <c r="D355" s="13" t="n">
        <v>46023</v>
      </c>
      <c r="E355" t="n">
        <v>0</v>
      </c>
      <c r="F355" s="13" t="n">
        <v>46387</v>
      </c>
      <c r="G355" t="n">
        <v>0.3568</v>
      </c>
      <c r="H355" t="n">
        <v>0.145164</v>
      </c>
      <c r="I355" t="n">
        <v>0.084511</v>
      </c>
      <c r="J355" t="n">
        <v>0.09893</v>
      </c>
      <c r="K355" t="n">
        <v>0.14839</v>
      </c>
      <c r="L355" t="n">
        <v>0.063638</v>
      </c>
      <c r="M355" t="n">
        <v>0.046531</v>
      </c>
      <c r="N355" t="n">
        <v>0.042424</v>
      </c>
      <c r="O355" t="n">
        <v>0.03226</v>
      </c>
      <c r="P355" t="n">
        <v>0.027272</v>
      </c>
      <c r="Q355" t="n">
        <v>0.024925</v>
      </c>
      <c r="R355" t="n">
        <v>0.02879</v>
      </c>
      <c r="S355" t="n">
        <v>0.030302</v>
      </c>
      <c r="T355" t="n">
        <v>0.035192</v>
      </c>
      <c r="U355" t="n">
        <v>0.042424</v>
      </c>
      <c r="V355" t="n">
        <v>0.049855</v>
      </c>
      <c r="W355" t="n">
        <v>0.063638</v>
      </c>
      <c r="X355" t="n">
        <v>0.003948</v>
      </c>
      <c r="Y355" t="n">
        <v>0.003196</v>
      </c>
      <c r="Z355" t="n">
        <v>0.002632</v>
      </c>
      <c r="AA355" t="n">
        <v>0.002068</v>
      </c>
      <c r="AB355" t="n">
        <v>0.001692</v>
      </c>
      <c r="AC355" t="n">
        <v>0.001598</v>
      </c>
      <c r="AD355" t="n">
        <v>0.001786</v>
      </c>
      <c r="AE355" t="n">
        <v>0.00188</v>
      </c>
      <c r="AF355" t="n">
        <v>0.002256</v>
      </c>
      <c r="AG355" t="n">
        <v>0.002632</v>
      </c>
      <c r="AH355" t="n">
        <v>0.003196</v>
      </c>
      <c r="AI355" t="n">
        <v>0.003948</v>
      </c>
    </row>
    <row r="356">
      <c r="A356" t="n">
        <v>84</v>
      </c>
      <c r="B356" s="13" t="n">
        <v>46388</v>
      </c>
      <c r="C356" s="13" t="n">
        <v>46752</v>
      </c>
      <c r="D356" s="13" t="n">
        <v>46388</v>
      </c>
      <c r="E356" t="n">
        <v>0</v>
      </c>
      <c r="F356" s="13" t="n">
        <v>46752</v>
      </c>
      <c r="G356" t="n">
        <v>0.3203</v>
      </c>
      <c r="H356" t="n">
        <v>0.13031384</v>
      </c>
      <c r="I356" t="n">
        <v>0.07586603</v>
      </c>
      <c r="J356" t="n">
        <v>0.08880970000000001</v>
      </c>
      <c r="K356" t="n">
        <v>0.1332097</v>
      </c>
      <c r="L356" t="n">
        <v>0.05712802</v>
      </c>
      <c r="M356" t="n">
        <v>0.04177088</v>
      </c>
      <c r="N356" t="n">
        <v>0.03808417</v>
      </c>
      <c r="O356" t="n">
        <v>0.02896021</v>
      </c>
      <c r="P356" t="n">
        <v>0.02448293</v>
      </c>
      <c r="Q356" t="n">
        <v>0.02237554</v>
      </c>
      <c r="R356" t="n">
        <v>0.02584447</v>
      </c>
      <c r="S356" t="n">
        <v>0.02720247</v>
      </c>
      <c r="T356" t="n">
        <v>0.03159202</v>
      </c>
      <c r="U356" t="n">
        <v>0.03808417</v>
      </c>
      <c r="V356" t="n">
        <v>0.04475451</v>
      </c>
      <c r="W356" t="n">
        <v>0.05712802</v>
      </c>
      <c r="X356" t="n">
        <v>0.00354392</v>
      </c>
      <c r="Y356" t="n">
        <v>0.00286888</v>
      </c>
      <c r="Z356" t="n">
        <v>0.00236254</v>
      </c>
      <c r="AA356" t="n">
        <v>0.00185642</v>
      </c>
      <c r="AB356" t="n">
        <v>0.00151879</v>
      </c>
      <c r="AC356" t="n">
        <v>0.00143433</v>
      </c>
      <c r="AD356" t="n">
        <v>0.00160326</v>
      </c>
      <c r="AE356" t="n">
        <v>0.0016875</v>
      </c>
      <c r="AF356" t="n">
        <v>0.00202513</v>
      </c>
      <c r="AG356" t="n">
        <v>0.00236254</v>
      </c>
      <c r="AH356" t="n">
        <v>0.00286888</v>
      </c>
      <c r="AI356" t="n">
        <v>0.00354392</v>
      </c>
    </row>
    <row r="357">
      <c r="A357" t="n">
        <v>84</v>
      </c>
      <c r="B357" s="13" t="n">
        <v>46753</v>
      </c>
      <c r="C357" s="13" t="n">
        <v>47118</v>
      </c>
      <c r="D357" s="13" t="n">
        <v>46753</v>
      </c>
      <c r="E357" t="n">
        <v>0</v>
      </c>
      <c r="F357" s="13" t="n">
        <v>47118</v>
      </c>
      <c r="G357" t="n">
        <v>0.2658</v>
      </c>
      <c r="H357" t="n">
        <v>0.10814055</v>
      </c>
      <c r="I357" t="n">
        <v>0.0629572</v>
      </c>
      <c r="J357" t="n">
        <v>0.07369845999999999</v>
      </c>
      <c r="K357" t="n">
        <v>0.11054367</v>
      </c>
      <c r="L357" t="n">
        <v>0.04740752</v>
      </c>
      <c r="M357" t="n">
        <v>0.03466344</v>
      </c>
      <c r="N357" t="n">
        <v>0.03160404</v>
      </c>
      <c r="O357" t="n">
        <v>0.02403254</v>
      </c>
      <c r="P357" t="n">
        <v>0.02031709</v>
      </c>
      <c r="Q357" t="n">
        <v>0.01856828</v>
      </c>
      <c r="R357" t="n">
        <v>0.02144696</v>
      </c>
      <c r="S357" t="n">
        <v>0.02257389</v>
      </c>
      <c r="T357" t="n">
        <v>0.02621655</v>
      </c>
      <c r="U357" t="n">
        <v>0.03160404</v>
      </c>
      <c r="V357" t="n">
        <v>0.0371394</v>
      </c>
      <c r="W357" t="n">
        <v>0.04740752</v>
      </c>
      <c r="X357" t="n">
        <v>0.00294091</v>
      </c>
      <c r="Y357" t="n">
        <v>0.00238073</v>
      </c>
      <c r="Z357" t="n">
        <v>0.00196055</v>
      </c>
      <c r="AA357" t="n">
        <v>0.00154055</v>
      </c>
      <c r="AB357" t="n">
        <v>0.00126037</v>
      </c>
      <c r="AC357" t="n">
        <v>0.00119027</v>
      </c>
      <c r="AD357" t="n">
        <v>0.00133046</v>
      </c>
      <c r="AE357" t="n">
        <v>0.00140037</v>
      </c>
      <c r="AF357" t="n">
        <v>0.00168055</v>
      </c>
      <c r="AG357" t="n">
        <v>0.00196055</v>
      </c>
      <c r="AH357" t="n">
        <v>0.00238073</v>
      </c>
      <c r="AI357" t="n">
        <v>0.00294091</v>
      </c>
    </row>
    <row r="358">
      <c r="A358" t="n">
        <v>84</v>
      </c>
      <c r="B358" s="13" t="n">
        <v>47119</v>
      </c>
      <c r="C358" s="13" t="n">
        <v>47483</v>
      </c>
      <c r="D358" s="13" t="n">
        <v>47119</v>
      </c>
      <c r="E358" t="n">
        <v>0</v>
      </c>
      <c r="F358" s="13" t="n">
        <v>47483</v>
      </c>
      <c r="G358" t="n">
        <v>0.2231</v>
      </c>
      <c r="H358" t="n">
        <v>0.09076808</v>
      </c>
      <c r="I358" t="n">
        <v>0.05284331</v>
      </c>
      <c r="J358" t="n">
        <v>0.06185902</v>
      </c>
      <c r="K358" t="n">
        <v>0.09278515</v>
      </c>
      <c r="L358" t="n">
        <v>0.03979164</v>
      </c>
      <c r="M358" t="n">
        <v>0.02909486</v>
      </c>
      <c r="N358" t="n">
        <v>0.02652694</v>
      </c>
      <c r="O358" t="n">
        <v>0.02017179</v>
      </c>
      <c r="P358" t="n">
        <v>0.01705321</v>
      </c>
      <c r="Q358" t="n">
        <v>0.01558534</v>
      </c>
      <c r="R358" t="n">
        <v>0.01800157</v>
      </c>
      <c r="S358" t="n">
        <v>0.01894746</v>
      </c>
      <c r="T358" t="n">
        <v>0.02200493</v>
      </c>
      <c r="U358" t="n">
        <v>0.02652694</v>
      </c>
      <c r="V358" t="n">
        <v>0.03117306</v>
      </c>
      <c r="W358" t="n">
        <v>0.03979164</v>
      </c>
      <c r="X358" t="n">
        <v>0.00246846</v>
      </c>
      <c r="Y358" t="n">
        <v>0.00199827</v>
      </c>
      <c r="Z358" t="n">
        <v>0.00164559</v>
      </c>
      <c r="AA358" t="n">
        <v>0.00129306</v>
      </c>
      <c r="AB358" t="n">
        <v>0.00105789</v>
      </c>
      <c r="AC358" t="n">
        <v>0.00099906</v>
      </c>
      <c r="AD358" t="n">
        <v>0.00111672</v>
      </c>
      <c r="AE358" t="n">
        <v>0.0011754</v>
      </c>
      <c r="AF358" t="n">
        <v>0.00141057</v>
      </c>
      <c r="AG358" t="n">
        <v>0.00164559</v>
      </c>
      <c r="AH358" t="n">
        <v>0.00199827</v>
      </c>
      <c r="AI358" t="n">
        <v>0.00246846</v>
      </c>
    </row>
    <row r="359">
      <c r="A359" t="n">
        <v>84</v>
      </c>
      <c r="B359" s="13" t="n">
        <v>47484</v>
      </c>
      <c r="C359" s="13" t="n">
        <v>2958465</v>
      </c>
      <c r="D359" s="13" t="n">
        <v>47484</v>
      </c>
      <c r="E359" t="n">
        <v>1</v>
      </c>
      <c r="G359" t="n">
        <v>0.2306</v>
      </c>
      <c r="H359" t="n">
        <v>0.09381945</v>
      </c>
      <c r="I359" t="n">
        <v>0.05461975</v>
      </c>
      <c r="J359" t="n">
        <v>0.06393854</v>
      </c>
      <c r="K359" t="n">
        <v>0.09590433</v>
      </c>
      <c r="L359" t="n">
        <v>0.04112932</v>
      </c>
      <c r="M359" t="n">
        <v>0.03007294</v>
      </c>
      <c r="N359" t="n">
        <v>0.0274187</v>
      </c>
      <c r="O359" t="n">
        <v>0.0208499</v>
      </c>
      <c r="P359" t="n">
        <v>0.01762649</v>
      </c>
      <c r="Q359" t="n">
        <v>0.01610927</v>
      </c>
      <c r="R359" t="n">
        <v>0.01860673</v>
      </c>
      <c r="S359" t="n">
        <v>0.01958442</v>
      </c>
      <c r="T359" t="n">
        <v>0.02274468</v>
      </c>
      <c r="U359" t="n">
        <v>0.0274187</v>
      </c>
      <c r="V359" t="n">
        <v>0.03222101</v>
      </c>
      <c r="W359" t="n">
        <v>0.04112932</v>
      </c>
      <c r="X359" t="n">
        <v>0.00255145</v>
      </c>
      <c r="Y359" t="n">
        <v>0.00206545</v>
      </c>
      <c r="Z359" t="n">
        <v>0.00170091</v>
      </c>
      <c r="AA359" t="n">
        <v>0.00133653</v>
      </c>
      <c r="AB359" t="n">
        <v>0.00109345</v>
      </c>
      <c r="AC359" t="n">
        <v>0.00103265</v>
      </c>
      <c r="AD359" t="n">
        <v>0.00115426</v>
      </c>
      <c r="AE359" t="n">
        <v>0.00121491</v>
      </c>
      <c r="AF359" t="n">
        <v>0.00145799</v>
      </c>
      <c r="AG359" t="n">
        <v>0.00170091</v>
      </c>
      <c r="AH359" t="n">
        <v>0.00206545</v>
      </c>
      <c r="AI359" t="n">
        <v>0.00255145</v>
      </c>
    </row>
    <row r="360">
      <c r="A360" t="n">
        <v>85</v>
      </c>
      <c r="B360" s="13" t="n">
        <v>45658</v>
      </c>
      <c r="C360" s="13" t="n">
        <v>46022</v>
      </c>
      <c r="D360" s="13" t="n">
        <v>45658</v>
      </c>
      <c r="E360" t="n">
        <v>0</v>
      </c>
      <c r="F360" s="13" t="n">
        <v>46022</v>
      </c>
      <c r="G360" t="n">
        <v>0.1844</v>
      </c>
      <c r="H360" t="n">
        <v>0.07502300000000001</v>
      </c>
      <c r="I360" t="n">
        <v>0.036091</v>
      </c>
      <c r="J360" t="n">
        <v>0.032768</v>
      </c>
      <c r="K360" t="n">
        <v>0.072044</v>
      </c>
      <c r="L360" t="n">
        <v>0.035452</v>
      </c>
      <c r="M360" t="n">
        <v>0.025729</v>
      </c>
      <c r="N360" t="n">
        <v>0.023752</v>
      </c>
      <c r="O360" t="n">
        <v>0.01577</v>
      </c>
      <c r="P360" t="n">
        <v>0.012662</v>
      </c>
      <c r="Q360" t="n">
        <v>0.009873</v>
      </c>
      <c r="R360" t="n">
        <v>0.010459</v>
      </c>
      <c r="S360" t="n">
        <v>0.011923</v>
      </c>
      <c r="T360" t="n">
        <v>0.012911</v>
      </c>
      <c r="U360" t="n">
        <v>0.02356</v>
      </c>
      <c r="V360" t="n">
        <v>0.02773</v>
      </c>
      <c r="W360" t="n">
        <v>0.035072</v>
      </c>
      <c r="X360" t="n">
        <v>0.002199</v>
      </c>
      <c r="Y360" t="n">
        <v>0.001767</v>
      </c>
      <c r="Z360" t="n">
        <v>0.001473</v>
      </c>
      <c r="AA360" t="n">
        <v>0.001011</v>
      </c>
      <c r="AB360" t="n">
        <v>0.000785</v>
      </c>
      <c r="AC360" t="n">
        <v>0.000633</v>
      </c>
      <c r="AD360" t="n">
        <v>0.0006489999999999999</v>
      </c>
      <c r="AE360" t="n">
        <v>0.00074</v>
      </c>
      <c r="AF360" t="n">
        <v>0.000828</v>
      </c>
      <c r="AG360" t="n">
        <v>0.001462</v>
      </c>
      <c r="AH360" t="n">
        <v>0.001778</v>
      </c>
      <c r="AI360" t="n">
        <v>0.002176</v>
      </c>
    </row>
    <row r="361">
      <c r="A361" t="n">
        <v>85</v>
      </c>
      <c r="B361" s="13" t="n">
        <v>46023</v>
      </c>
      <c r="C361" s="13" t="n">
        <v>46387</v>
      </c>
      <c r="D361" s="13" t="n">
        <v>46023</v>
      </c>
      <c r="E361" t="n">
        <v>0</v>
      </c>
      <c r="F361" s="13" t="n">
        <v>46387</v>
      </c>
      <c r="G361" t="n">
        <v>0.1949</v>
      </c>
      <c r="H361" t="n">
        <v>0.079295</v>
      </c>
      <c r="I361" t="n">
        <v>0.046164</v>
      </c>
      <c r="J361" t="n">
        <v>0.05404</v>
      </c>
      <c r="K361" t="n">
        <v>0.081057</v>
      </c>
      <c r="L361" t="n">
        <v>0.034762</v>
      </c>
      <c r="M361" t="n">
        <v>0.025417</v>
      </c>
      <c r="N361" t="n">
        <v>0.023174</v>
      </c>
      <c r="O361" t="n">
        <v>0.017622</v>
      </c>
      <c r="P361" t="n">
        <v>0.014897</v>
      </c>
      <c r="Q361" t="n">
        <v>0.013615</v>
      </c>
      <c r="R361" t="n">
        <v>0.015726</v>
      </c>
      <c r="S361" t="n">
        <v>0.016552</v>
      </c>
      <c r="T361" t="n">
        <v>0.019223</v>
      </c>
      <c r="U361" t="n">
        <v>0.023174</v>
      </c>
      <c r="V361" t="n">
        <v>0.027233</v>
      </c>
      <c r="W361" t="n">
        <v>0.034762</v>
      </c>
      <c r="X361" t="n">
        <v>0.002156</v>
      </c>
      <c r="Y361" t="n">
        <v>0.001746</v>
      </c>
      <c r="Z361" t="n">
        <v>0.001438</v>
      </c>
      <c r="AA361" t="n">
        <v>0.00113</v>
      </c>
      <c r="AB361" t="n">
        <v>0.000924</v>
      </c>
      <c r="AC361" t="n">
        <v>0.000873</v>
      </c>
      <c r="AD361" t="n">
        <v>0.000976</v>
      </c>
      <c r="AE361" t="n">
        <v>0.001027</v>
      </c>
      <c r="AF361" t="n">
        <v>0.001232</v>
      </c>
      <c r="AG361" t="n">
        <v>0.001438</v>
      </c>
      <c r="AH361" t="n">
        <v>0.001746</v>
      </c>
      <c r="AI361" t="n">
        <v>0.002156</v>
      </c>
    </row>
    <row r="362">
      <c r="A362" t="n">
        <v>85</v>
      </c>
      <c r="B362" s="13" t="n">
        <v>46388</v>
      </c>
      <c r="C362" s="13" t="n">
        <v>46752</v>
      </c>
      <c r="D362" s="13" t="n">
        <v>46388</v>
      </c>
      <c r="E362" t="n">
        <v>0</v>
      </c>
      <c r="F362" s="13" t="n">
        <v>46752</v>
      </c>
      <c r="G362" t="n">
        <v>0.1809</v>
      </c>
      <c r="H362" t="n">
        <v>0.07359904</v>
      </c>
      <c r="I362" t="n">
        <v>0.04284785</v>
      </c>
      <c r="J362" t="n">
        <v>0.05015821</v>
      </c>
      <c r="K362" t="n">
        <v>0.07523458</v>
      </c>
      <c r="L362" t="n">
        <v>0.03226494</v>
      </c>
      <c r="M362" t="n">
        <v>0.02359148</v>
      </c>
      <c r="N362" t="n">
        <v>0.02150929</v>
      </c>
      <c r="O362" t="n">
        <v>0.01635623</v>
      </c>
      <c r="P362" t="n">
        <v>0.01382754</v>
      </c>
      <c r="Q362" t="n">
        <v>0.01263733</v>
      </c>
      <c r="R362" t="n">
        <v>0.01459652</v>
      </c>
      <c r="S362" t="n">
        <v>0.0153635</v>
      </c>
      <c r="T362" t="n">
        <v>0.01784264</v>
      </c>
      <c r="U362" t="n">
        <v>0.02150929</v>
      </c>
      <c r="V362" t="n">
        <v>0.02527659</v>
      </c>
      <c r="W362" t="n">
        <v>0.03226494</v>
      </c>
      <c r="X362" t="n">
        <v>0.00200155</v>
      </c>
      <c r="Y362" t="n">
        <v>0.00162029</v>
      </c>
      <c r="Z362" t="n">
        <v>0.00133432</v>
      </c>
      <c r="AA362" t="n">
        <v>0.00104848</v>
      </c>
      <c r="AB362" t="n">
        <v>0.00085779</v>
      </c>
      <c r="AC362" t="n">
        <v>0.00081009</v>
      </c>
      <c r="AD362" t="n">
        <v>0.00090549</v>
      </c>
      <c r="AE362" t="n">
        <v>0.00095307</v>
      </c>
      <c r="AF362" t="n">
        <v>0.00114376</v>
      </c>
      <c r="AG362" t="n">
        <v>0.00133432</v>
      </c>
      <c r="AH362" t="n">
        <v>0.00162029</v>
      </c>
      <c r="AI362" t="n">
        <v>0.00200155</v>
      </c>
    </row>
    <row r="363">
      <c r="A363" t="n">
        <v>85</v>
      </c>
      <c r="B363" s="13" t="n">
        <v>46753</v>
      </c>
      <c r="C363" s="13" t="n">
        <v>47118</v>
      </c>
      <c r="D363" s="13" t="n">
        <v>46753</v>
      </c>
      <c r="E363" t="n">
        <v>0</v>
      </c>
      <c r="F363" s="13" t="n">
        <v>47118</v>
      </c>
      <c r="G363" t="n">
        <v>0.1493</v>
      </c>
      <c r="H363" t="n">
        <v>0.0607426</v>
      </c>
      <c r="I363" t="n">
        <v>0.03536309</v>
      </c>
      <c r="J363" t="n">
        <v>0.04139646</v>
      </c>
      <c r="K363" t="n">
        <v>0.06209244</v>
      </c>
      <c r="L363" t="n">
        <v>0.02662883</v>
      </c>
      <c r="M363" t="n">
        <v>0.01947047</v>
      </c>
      <c r="N363" t="n">
        <v>0.017752</v>
      </c>
      <c r="O363" t="n">
        <v>0.01349909</v>
      </c>
      <c r="P363" t="n">
        <v>0.01141212</v>
      </c>
      <c r="Q363" t="n">
        <v>0.01042981</v>
      </c>
      <c r="R363" t="n">
        <v>0.01204677</v>
      </c>
      <c r="S363" t="n">
        <v>0.01267977</v>
      </c>
      <c r="T363" t="n">
        <v>0.01472585</v>
      </c>
      <c r="U363" t="n">
        <v>0.017752</v>
      </c>
      <c r="V363" t="n">
        <v>0.02086122</v>
      </c>
      <c r="W363" t="n">
        <v>0.02662883</v>
      </c>
      <c r="X363" t="n">
        <v>0.00165191</v>
      </c>
      <c r="Y363" t="n">
        <v>0.00133726</v>
      </c>
      <c r="Z363" t="n">
        <v>0.00110124</v>
      </c>
      <c r="AA363" t="n">
        <v>0.00086533</v>
      </c>
      <c r="AB363" t="n">
        <v>0.0007079500000000001</v>
      </c>
      <c r="AC363" t="n">
        <v>0.00066858</v>
      </c>
      <c r="AD363" t="n">
        <v>0.00074732</v>
      </c>
      <c r="AE363" t="n">
        <v>0.00078659</v>
      </c>
      <c r="AF363" t="n">
        <v>0.00094396</v>
      </c>
      <c r="AG363" t="n">
        <v>0.00110124</v>
      </c>
      <c r="AH363" t="n">
        <v>0.00133726</v>
      </c>
      <c r="AI363" t="n">
        <v>0.00165191</v>
      </c>
    </row>
    <row r="364">
      <c r="A364" t="n">
        <v>85</v>
      </c>
      <c r="B364" s="13" t="n">
        <v>47119</v>
      </c>
      <c r="C364" s="13" t="n">
        <v>47483</v>
      </c>
      <c r="D364" s="13" t="n">
        <v>47119</v>
      </c>
      <c r="E364" t="n">
        <v>0</v>
      </c>
      <c r="F364" s="13" t="n">
        <v>47483</v>
      </c>
      <c r="G364" t="n">
        <v>0.1248</v>
      </c>
      <c r="H364" t="n">
        <v>0.05077479</v>
      </c>
      <c r="I364" t="n">
        <v>0.02956004</v>
      </c>
      <c r="J364" t="n">
        <v>0.03460334</v>
      </c>
      <c r="K364" t="n">
        <v>0.05190312</v>
      </c>
      <c r="L364" t="n">
        <v>0.02225906</v>
      </c>
      <c r="M364" t="n">
        <v>0.01627538</v>
      </c>
      <c r="N364" t="n">
        <v>0.01483891</v>
      </c>
      <c r="O364" t="n">
        <v>0.0112839</v>
      </c>
      <c r="P364" t="n">
        <v>0.0095394</v>
      </c>
      <c r="Q364" t="n">
        <v>0.00871829</v>
      </c>
      <c r="R364" t="n">
        <v>0.0100699</v>
      </c>
      <c r="S364" t="n">
        <v>0.01059903</v>
      </c>
      <c r="T364" t="n">
        <v>0.01230935</v>
      </c>
      <c r="U364" t="n">
        <v>0.01483891</v>
      </c>
      <c r="V364" t="n">
        <v>0.01743791</v>
      </c>
      <c r="W364" t="n">
        <v>0.02225906</v>
      </c>
      <c r="X364" t="n">
        <v>0.00138084</v>
      </c>
      <c r="Y364" t="n">
        <v>0.00111781</v>
      </c>
      <c r="Z364" t="n">
        <v>0.00092053</v>
      </c>
      <c r="AA364" t="n">
        <v>0.00072333</v>
      </c>
      <c r="AB364" t="n">
        <v>0.00059177</v>
      </c>
      <c r="AC364" t="n">
        <v>0.00055886</v>
      </c>
      <c r="AD364" t="n">
        <v>0.00062468</v>
      </c>
      <c r="AE364" t="n">
        <v>0.00065751</v>
      </c>
      <c r="AF364" t="n">
        <v>0.00078906</v>
      </c>
      <c r="AG364" t="n">
        <v>0.00092053</v>
      </c>
      <c r="AH364" t="n">
        <v>0.00111781</v>
      </c>
      <c r="AI364" t="n">
        <v>0.00138084</v>
      </c>
    </row>
    <row r="365">
      <c r="A365" t="n">
        <v>85</v>
      </c>
      <c r="B365" s="13" t="n">
        <v>47484</v>
      </c>
      <c r="C365" s="13" t="n">
        <v>2958465</v>
      </c>
      <c r="D365" s="13" t="n">
        <v>47484</v>
      </c>
      <c r="E365" t="n">
        <v>1</v>
      </c>
      <c r="G365" t="n">
        <v>0.1258</v>
      </c>
      <c r="H365" t="n">
        <v>0.05118164</v>
      </c>
      <c r="I365" t="n">
        <v>0.0297969</v>
      </c>
      <c r="J365" t="n">
        <v>0.03488061</v>
      </c>
      <c r="K365" t="n">
        <v>0.05231901</v>
      </c>
      <c r="L365" t="n">
        <v>0.02243742</v>
      </c>
      <c r="M365" t="n">
        <v>0.0164058</v>
      </c>
      <c r="N365" t="n">
        <v>0.01495782</v>
      </c>
      <c r="O365" t="n">
        <v>0.01137432</v>
      </c>
      <c r="P365" t="n">
        <v>0.00961584</v>
      </c>
      <c r="Q365" t="n">
        <v>0.00878815</v>
      </c>
      <c r="R365" t="n">
        <v>0.01015059</v>
      </c>
      <c r="S365" t="n">
        <v>0.01068396</v>
      </c>
      <c r="T365" t="n">
        <v>0.01240798</v>
      </c>
      <c r="U365" t="n">
        <v>0.01495782</v>
      </c>
      <c r="V365" t="n">
        <v>0.01757764</v>
      </c>
      <c r="W365" t="n">
        <v>0.02243742</v>
      </c>
      <c r="X365" t="n">
        <v>0.0013919</v>
      </c>
      <c r="Y365" t="n">
        <v>0.00112677</v>
      </c>
      <c r="Z365" t="n">
        <v>0.0009278999999999999</v>
      </c>
      <c r="AA365" t="n">
        <v>0.00072912</v>
      </c>
      <c r="AB365" t="n">
        <v>0.00059652</v>
      </c>
      <c r="AC365" t="n">
        <v>0.00056334</v>
      </c>
      <c r="AD365" t="n">
        <v>0.00062969</v>
      </c>
      <c r="AE365" t="n">
        <v>0.00066278</v>
      </c>
      <c r="AF365" t="n">
        <v>0.00079538</v>
      </c>
      <c r="AG365" t="n">
        <v>0.0009278999999999999</v>
      </c>
      <c r="AH365" t="n">
        <v>0.00112677</v>
      </c>
      <c r="AI365" t="n">
        <v>0.0013919</v>
      </c>
    </row>
    <row r="366">
      <c r="A366" t="n">
        <v>86</v>
      </c>
      <c r="B366" s="13" t="n">
        <v>45658</v>
      </c>
      <c r="C366" s="13" t="n">
        <v>46022</v>
      </c>
      <c r="D366" s="13" t="n">
        <v>45658</v>
      </c>
      <c r="E366" t="n">
        <v>0</v>
      </c>
      <c r="F366" s="13" t="n">
        <v>46022</v>
      </c>
      <c r="G366" t="n">
        <v>0.1844</v>
      </c>
      <c r="H366" t="n">
        <v>0.07502300000000001</v>
      </c>
      <c r="I366" t="n">
        <v>0.036091</v>
      </c>
      <c r="J366" t="n">
        <v>0.032768</v>
      </c>
      <c r="K366" t="n">
        <v>0.072044</v>
      </c>
      <c r="L366" t="n">
        <v>0.035452</v>
      </c>
      <c r="M366" t="n">
        <v>0.025729</v>
      </c>
      <c r="N366" t="n">
        <v>0.023752</v>
      </c>
      <c r="O366" t="n">
        <v>0.01577</v>
      </c>
      <c r="P366" t="n">
        <v>0.012662</v>
      </c>
      <c r="Q366" t="n">
        <v>0.009873</v>
      </c>
      <c r="R366" t="n">
        <v>0.010459</v>
      </c>
      <c r="S366" t="n">
        <v>0.011923</v>
      </c>
      <c r="T366" t="n">
        <v>0.012911</v>
      </c>
      <c r="U366" t="n">
        <v>0.02356</v>
      </c>
      <c r="V366" t="n">
        <v>0.02773</v>
      </c>
      <c r="W366" t="n">
        <v>0.035072</v>
      </c>
      <c r="X366" t="n">
        <v>0.002199</v>
      </c>
      <c r="Y366" t="n">
        <v>0.001767</v>
      </c>
      <c r="Z366" t="n">
        <v>0.001473</v>
      </c>
      <c r="AA366" t="n">
        <v>0.001011</v>
      </c>
      <c r="AB366" t="n">
        <v>0.000785</v>
      </c>
      <c r="AC366" t="n">
        <v>0.000633</v>
      </c>
      <c r="AD366" t="n">
        <v>0.0006489999999999999</v>
      </c>
      <c r="AE366" t="n">
        <v>0.00074</v>
      </c>
      <c r="AF366" t="n">
        <v>0.000828</v>
      </c>
      <c r="AG366" t="n">
        <v>0.001462</v>
      </c>
      <c r="AH366" t="n">
        <v>0.001778</v>
      </c>
      <c r="AI366" t="n">
        <v>0.002176</v>
      </c>
    </row>
    <row r="367">
      <c r="A367" t="n">
        <v>86</v>
      </c>
      <c r="B367" s="13" t="n">
        <v>46023</v>
      </c>
      <c r="C367" s="13" t="n">
        <v>46387</v>
      </c>
      <c r="D367" s="13" t="n">
        <v>46023</v>
      </c>
      <c r="E367" t="n">
        <v>0</v>
      </c>
      <c r="F367" s="13" t="n">
        <v>46387</v>
      </c>
      <c r="G367" t="n">
        <v>0.1949</v>
      </c>
      <c r="H367" t="n">
        <v>0.079295</v>
      </c>
      <c r="I367" t="n">
        <v>0.046164</v>
      </c>
      <c r="J367" t="n">
        <v>0.05404</v>
      </c>
      <c r="K367" t="n">
        <v>0.081057</v>
      </c>
      <c r="L367" t="n">
        <v>0.034762</v>
      </c>
      <c r="M367" t="n">
        <v>0.025417</v>
      </c>
      <c r="N367" t="n">
        <v>0.023174</v>
      </c>
      <c r="O367" t="n">
        <v>0.017622</v>
      </c>
      <c r="P367" t="n">
        <v>0.014897</v>
      </c>
      <c r="Q367" t="n">
        <v>0.013615</v>
      </c>
      <c r="R367" t="n">
        <v>0.015726</v>
      </c>
      <c r="S367" t="n">
        <v>0.016552</v>
      </c>
      <c r="T367" t="n">
        <v>0.019223</v>
      </c>
      <c r="U367" t="n">
        <v>0.023174</v>
      </c>
      <c r="V367" t="n">
        <v>0.027233</v>
      </c>
      <c r="W367" t="n">
        <v>0.034762</v>
      </c>
      <c r="X367" t="n">
        <v>0.002156</v>
      </c>
      <c r="Y367" t="n">
        <v>0.001746</v>
      </c>
      <c r="Z367" t="n">
        <v>0.001438</v>
      </c>
      <c r="AA367" t="n">
        <v>0.00113</v>
      </c>
      <c r="AB367" t="n">
        <v>0.000924</v>
      </c>
      <c r="AC367" t="n">
        <v>0.000873</v>
      </c>
      <c r="AD367" t="n">
        <v>0.000976</v>
      </c>
      <c r="AE367" t="n">
        <v>0.001027</v>
      </c>
      <c r="AF367" t="n">
        <v>0.001232</v>
      </c>
      <c r="AG367" t="n">
        <v>0.001438</v>
      </c>
      <c r="AH367" t="n">
        <v>0.001746</v>
      </c>
      <c r="AI367" t="n">
        <v>0.002156</v>
      </c>
    </row>
    <row r="368">
      <c r="A368" t="n">
        <v>86</v>
      </c>
      <c r="B368" s="13" t="n">
        <v>46388</v>
      </c>
      <c r="C368" s="13" t="n">
        <v>46752</v>
      </c>
      <c r="D368" s="13" t="n">
        <v>46388</v>
      </c>
      <c r="E368" t="n">
        <v>0</v>
      </c>
      <c r="F368" s="13" t="n">
        <v>46752</v>
      </c>
      <c r="G368" t="n">
        <v>0.1809</v>
      </c>
      <c r="H368" t="n">
        <v>0.07359904</v>
      </c>
      <c r="I368" t="n">
        <v>0.04284785</v>
      </c>
      <c r="J368" t="n">
        <v>0.05015821</v>
      </c>
      <c r="K368" t="n">
        <v>0.07523458</v>
      </c>
      <c r="L368" t="n">
        <v>0.03226494</v>
      </c>
      <c r="M368" t="n">
        <v>0.02359148</v>
      </c>
      <c r="N368" t="n">
        <v>0.02150929</v>
      </c>
      <c r="O368" t="n">
        <v>0.01635623</v>
      </c>
      <c r="P368" t="n">
        <v>0.01382754</v>
      </c>
      <c r="Q368" t="n">
        <v>0.01263733</v>
      </c>
      <c r="R368" t="n">
        <v>0.01459652</v>
      </c>
      <c r="S368" t="n">
        <v>0.0153635</v>
      </c>
      <c r="T368" t="n">
        <v>0.01784264</v>
      </c>
      <c r="U368" t="n">
        <v>0.02150929</v>
      </c>
      <c r="V368" t="n">
        <v>0.02527659</v>
      </c>
      <c r="W368" t="n">
        <v>0.03226494</v>
      </c>
      <c r="X368" t="n">
        <v>0.00200155</v>
      </c>
      <c r="Y368" t="n">
        <v>0.00162029</v>
      </c>
      <c r="Z368" t="n">
        <v>0.00133432</v>
      </c>
      <c r="AA368" t="n">
        <v>0.00104848</v>
      </c>
      <c r="AB368" t="n">
        <v>0.00085779</v>
      </c>
      <c r="AC368" t="n">
        <v>0.00081009</v>
      </c>
      <c r="AD368" t="n">
        <v>0.00090549</v>
      </c>
      <c r="AE368" t="n">
        <v>0.00095307</v>
      </c>
      <c r="AF368" t="n">
        <v>0.00114376</v>
      </c>
      <c r="AG368" t="n">
        <v>0.00133432</v>
      </c>
      <c r="AH368" t="n">
        <v>0.00162029</v>
      </c>
      <c r="AI368" t="n">
        <v>0.00200155</v>
      </c>
    </row>
    <row r="369">
      <c r="A369" t="n">
        <v>86</v>
      </c>
      <c r="B369" s="13" t="n">
        <v>46753</v>
      </c>
      <c r="C369" s="13" t="n">
        <v>47118</v>
      </c>
      <c r="D369" s="13" t="n">
        <v>46753</v>
      </c>
      <c r="E369" t="n">
        <v>0</v>
      </c>
      <c r="F369" s="13" t="n">
        <v>47118</v>
      </c>
      <c r="G369" t="n">
        <v>0.1493</v>
      </c>
      <c r="H369" t="n">
        <v>0.0607426</v>
      </c>
      <c r="I369" t="n">
        <v>0.03536309</v>
      </c>
      <c r="J369" t="n">
        <v>0.04139646</v>
      </c>
      <c r="K369" t="n">
        <v>0.06209244</v>
      </c>
      <c r="L369" t="n">
        <v>0.02662883</v>
      </c>
      <c r="M369" t="n">
        <v>0.01947047</v>
      </c>
      <c r="N369" t="n">
        <v>0.017752</v>
      </c>
      <c r="O369" t="n">
        <v>0.01349909</v>
      </c>
      <c r="P369" t="n">
        <v>0.01141212</v>
      </c>
      <c r="Q369" t="n">
        <v>0.01042981</v>
      </c>
      <c r="R369" t="n">
        <v>0.01204677</v>
      </c>
      <c r="S369" t="n">
        <v>0.01267977</v>
      </c>
      <c r="T369" t="n">
        <v>0.01472585</v>
      </c>
      <c r="U369" t="n">
        <v>0.017752</v>
      </c>
      <c r="V369" t="n">
        <v>0.02086122</v>
      </c>
      <c r="W369" t="n">
        <v>0.02662883</v>
      </c>
      <c r="X369" t="n">
        <v>0.00165191</v>
      </c>
      <c r="Y369" t="n">
        <v>0.00133726</v>
      </c>
      <c r="Z369" t="n">
        <v>0.00110124</v>
      </c>
      <c r="AA369" t="n">
        <v>0.00086533</v>
      </c>
      <c r="AB369" t="n">
        <v>0.0007079500000000001</v>
      </c>
      <c r="AC369" t="n">
        <v>0.00066858</v>
      </c>
      <c r="AD369" t="n">
        <v>0.00074732</v>
      </c>
      <c r="AE369" t="n">
        <v>0.00078659</v>
      </c>
      <c r="AF369" t="n">
        <v>0.00094396</v>
      </c>
      <c r="AG369" t="n">
        <v>0.00110124</v>
      </c>
      <c r="AH369" t="n">
        <v>0.00133726</v>
      </c>
      <c r="AI369" t="n">
        <v>0.00165191</v>
      </c>
    </row>
    <row r="370">
      <c r="A370" t="n">
        <v>86</v>
      </c>
      <c r="B370" s="13" t="n">
        <v>47119</v>
      </c>
      <c r="C370" s="13" t="n">
        <v>47483</v>
      </c>
      <c r="D370" s="13" t="n">
        <v>47119</v>
      </c>
      <c r="E370" t="n">
        <v>0</v>
      </c>
      <c r="F370" s="13" t="n">
        <v>47483</v>
      </c>
      <c r="G370" t="n">
        <v>0.1248</v>
      </c>
      <c r="H370" t="n">
        <v>0.05077479</v>
      </c>
      <c r="I370" t="n">
        <v>0.02956004</v>
      </c>
      <c r="J370" t="n">
        <v>0.03460334</v>
      </c>
      <c r="K370" t="n">
        <v>0.05190312</v>
      </c>
      <c r="L370" t="n">
        <v>0.02225906</v>
      </c>
      <c r="M370" t="n">
        <v>0.01627538</v>
      </c>
      <c r="N370" t="n">
        <v>0.01483891</v>
      </c>
      <c r="O370" t="n">
        <v>0.0112839</v>
      </c>
      <c r="P370" t="n">
        <v>0.0095394</v>
      </c>
      <c r="Q370" t="n">
        <v>0.00871829</v>
      </c>
      <c r="R370" t="n">
        <v>0.0100699</v>
      </c>
      <c r="S370" t="n">
        <v>0.01059903</v>
      </c>
      <c r="T370" t="n">
        <v>0.01230935</v>
      </c>
      <c r="U370" t="n">
        <v>0.01483891</v>
      </c>
      <c r="V370" t="n">
        <v>0.01743791</v>
      </c>
      <c r="W370" t="n">
        <v>0.02225906</v>
      </c>
      <c r="X370" t="n">
        <v>0.00138084</v>
      </c>
      <c r="Y370" t="n">
        <v>0.00111781</v>
      </c>
      <c r="Z370" t="n">
        <v>0.00092053</v>
      </c>
      <c r="AA370" t="n">
        <v>0.00072333</v>
      </c>
      <c r="AB370" t="n">
        <v>0.00059177</v>
      </c>
      <c r="AC370" t="n">
        <v>0.00055886</v>
      </c>
      <c r="AD370" t="n">
        <v>0.00062468</v>
      </c>
      <c r="AE370" t="n">
        <v>0.00065751</v>
      </c>
      <c r="AF370" t="n">
        <v>0.00078906</v>
      </c>
      <c r="AG370" t="n">
        <v>0.00092053</v>
      </c>
      <c r="AH370" t="n">
        <v>0.00111781</v>
      </c>
      <c r="AI370" t="n">
        <v>0.00138084</v>
      </c>
    </row>
    <row r="371">
      <c r="A371" t="n">
        <v>86</v>
      </c>
      <c r="B371" s="13" t="n">
        <v>47484</v>
      </c>
      <c r="C371" s="13" t="n">
        <v>2958465</v>
      </c>
      <c r="D371" s="13" t="n">
        <v>47484</v>
      </c>
      <c r="E371" t="n">
        <v>1</v>
      </c>
      <c r="G371" t="n">
        <v>0.1258</v>
      </c>
      <c r="H371" t="n">
        <v>0.05118164</v>
      </c>
      <c r="I371" t="n">
        <v>0.0297969</v>
      </c>
      <c r="J371" t="n">
        <v>0.03488061</v>
      </c>
      <c r="K371" t="n">
        <v>0.05231901</v>
      </c>
      <c r="L371" t="n">
        <v>0.02243742</v>
      </c>
      <c r="M371" t="n">
        <v>0.0164058</v>
      </c>
      <c r="N371" t="n">
        <v>0.01495782</v>
      </c>
      <c r="O371" t="n">
        <v>0.01137432</v>
      </c>
      <c r="P371" t="n">
        <v>0.00961584</v>
      </c>
      <c r="Q371" t="n">
        <v>0.00878815</v>
      </c>
      <c r="R371" t="n">
        <v>0.01015059</v>
      </c>
      <c r="S371" t="n">
        <v>0.01068396</v>
      </c>
      <c r="T371" t="n">
        <v>0.01240798</v>
      </c>
      <c r="U371" t="n">
        <v>0.01495782</v>
      </c>
      <c r="V371" t="n">
        <v>0.01757764</v>
      </c>
      <c r="W371" t="n">
        <v>0.02243742</v>
      </c>
      <c r="X371" t="n">
        <v>0.0013919</v>
      </c>
      <c r="Y371" t="n">
        <v>0.00112677</v>
      </c>
      <c r="Z371" t="n">
        <v>0.0009278999999999999</v>
      </c>
      <c r="AA371" t="n">
        <v>0.00072912</v>
      </c>
      <c r="AB371" t="n">
        <v>0.00059652</v>
      </c>
      <c r="AC371" t="n">
        <v>0.00056334</v>
      </c>
      <c r="AD371" t="n">
        <v>0.00062969</v>
      </c>
      <c r="AE371" t="n">
        <v>0.00066278</v>
      </c>
      <c r="AF371" t="n">
        <v>0.00079538</v>
      </c>
      <c r="AG371" t="n">
        <v>0.0009278999999999999</v>
      </c>
      <c r="AH371" t="n">
        <v>0.00112677</v>
      </c>
      <c r="AI371" t="n">
        <v>0.0013919</v>
      </c>
    </row>
    <row r="372">
      <c r="A372" t="n">
        <v>87</v>
      </c>
      <c r="B372" s="13" t="n">
        <v>44562</v>
      </c>
      <c r="C372" s="13" t="n">
        <v>44926</v>
      </c>
      <c r="D372" s="13" t="n">
        <v>44562</v>
      </c>
      <c r="E372" t="n">
        <v>0</v>
      </c>
      <c r="F372" s="13" t="n">
        <v>44926</v>
      </c>
      <c r="G372" t="n">
        <v>2.110767</v>
      </c>
      <c r="H372" t="n">
        <v>1.178225</v>
      </c>
      <c r="I372" t="n">
        <v>0.553295</v>
      </c>
      <c r="J372" t="n">
        <v>0.531816</v>
      </c>
      <c r="K372" t="n">
        <v>0.902002</v>
      </c>
      <c r="L372" t="n">
        <v>0.420327</v>
      </c>
      <c r="M372" t="n">
        <v>0.35852</v>
      </c>
      <c r="N372" t="n">
        <v>0.31921</v>
      </c>
      <c r="O372" t="n">
        <v>0.192442</v>
      </c>
      <c r="P372" t="n">
        <v>0.194437</v>
      </c>
      <c r="Q372" t="n">
        <v>0.179109</v>
      </c>
      <c r="R372" t="n">
        <v>0.170783</v>
      </c>
      <c r="S372" t="n">
        <v>0.255264</v>
      </c>
      <c r="T372" t="n">
        <v>0.180367</v>
      </c>
      <c r="U372" t="n">
        <v>0.22823</v>
      </c>
      <c r="V372" t="n">
        <v>0.28753</v>
      </c>
      <c r="W372" t="n">
        <v>0.314791</v>
      </c>
      <c r="X372" t="n">
        <v>0.025716</v>
      </c>
      <c r="Y372" t="n">
        <v>0.024284</v>
      </c>
      <c r="Z372" t="n">
        <v>0.019529</v>
      </c>
      <c r="AA372" t="n">
        <v>0.012166</v>
      </c>
      <c r="AB372" t="n">
        <v>0.011896</v>
      </c>
      <c r="AC372" t="n">
        <v>0.011323</v>
      </c>
      <c r="AD372" t="n">
        <v>0.010449</v>
      </c>
      <c r="AE372" t="n">
        <v>0.015617</v>
      </c>
      <c r="AF372" t="n">
        <v>0.011403</v>
      </c>
      <c r="AG372" t="n">
        <v>0.013963</v>
      </c>
      <c r="AH372" t="n">
        <v>0.018178</v>
      </c>
      <c r="AI372" t="n">
        <v>0.019259</v>
      </c>
    </row>
    <row r="373">
      <c r="A373" t="n">
        <v>87</v>
      </c>
      <c r="B373" s="13" t="n">
        <v>44927</v>
      </c>
      <c r="C373" s="13" t="n">
        <v>45291</v>
      </c>
      <c r="D373" s="13" t="n">
        <v>44927</v>
      </c>
      <c r="E373" t="n">
        <v>0</v>
      </c>
      <c r="F373" s="13" t="n">
        <v>45291</v>
      </c>
      <c r="G373" t="n">
        <v>2.171979</v>
      </c>
      <c r="H373" t="n">
        <v>1.212393</v>
      </c>
      <c r="I373" t="n">
        <v>0.569341</v>
      </c>
      <c r="J373" t="n">
        <v>0.547239</v>
      </c>
      <c r="K373" t="n">
        <v>0.92816</v>
      </c>
      <c r="L373" t="n">
        <v>0.432517</v>
      </c>
      <c r="M373" t="n">
        <v>0.368917</v>
      </c>
      <c r="N373" t="n">
        <v>0.328467</v>
      </c>
      <c r="O373" t="n">
        <v>0.198022</v>
      </c>
      <c r="P373" t="n">
        <v>0.200076</v>
      </c>
      <c r="Q373" t="n">
        <v>0.184303</v>
      </c>
      <c r="R373" t="n">
        <v>0.175735</v>
      </c>
      <c r="S373" t="n">
        <v>0.262666</v>
      </c>
      <c r="T373" t="n">
        <v>0.185598</v>
      </c>
      <c r="U373" t="n">
        <v>0.234848</v>
      </c>
      <c r="V373" t="n">
        <v>0.295869</v>
      </c>
      <c r="W373" t="n">
        <v>0.32392</v>
      </c>
      <c r="X373" t="n">
        <v>0.026461</v>
      </c>
      <c r="Y373" t="n">
        <v>0.024989</v>
      </c>
      <c r="Z373" t="n">
        <v>0.020096</v>
      </c>
      <c r="AA373" t="n">
        <v>0.012519</v>
      </c>
      <c r="AB373" t="n">
        <v>0.012241</v>
      </c>
      <c r="AC373" t="n">
        <v>0.011652</v>
      </c>
      <c r="AD373" t="n">
        <v>0.010752</v>
      </c>
      <c r="AE373" t="n">
        <v>0.01607</v>
      </c>
      <c r="AF373" t="n">
        <v>0.011734</v>
      </c>
      <c r="AG373" t="n">
        <v>0.014368</v>
      </c>
      <c r="AH373" t="n">
        <v>0.018705</v>
      </c>
      <c r="AI373" t="n">
        <v>0.019818</v>
      </c>
    </row>
    <row r="374">
      <c r="A374" t="n">
        <v>87</v>
      </c>
      <c r="B374" s="13" t="n">
        <v>45292</v>
      </c>
      <c r="C374" s="13" t="n">
        <v>45657</v>
      </c>
      <c r="D374" s="13" t="n">
        <v>45292</v>
      </c>
      <c r="E374" t="n">
        <v>0</v>
      </c>
      <c r="F374" s="13" t="n">
        <v>45657</v>
      </c>
      <c r="G374" t="n">
        <v>2.234966</v>
      </c>
      <c r="H374" t="n">
        <v>0.916441</v>
      </c>
      <c r="I374" t="n">
        <v>0.610702</v>
      </c>
      <c r="J374" t="n">
        <v>0.547413</v>
      </c>
      <c r="K374" t="n">
        <v>0.967411</v>
      </c>
      <c r="L374" t="n">
        <v>0.297268</v>
      </c>
      <c r="M374" t="n">
        <v>0.302483</v>
      </c>
      <c r="N374" t="n">
        <v>0.321972</v>
      </c>
      <c r="O374" t="n">
        <v>0.240396</v>
      </c>
      <c r="P374" t="n">
        <v>0.203668</v>
      </c>
      <c r="Q374" t="n">
        <v>0.184082</v>
      </c>
      <c r="R374" t="n">
        <v>0.185552</v>
      </c>
      <c r="S374" t="n">
        <v>0.187474</v>
      </c>
      <c r="T374" t="n">
        <v>0.213036</v>
      </c>
      <c r="U374" t="n">
        <v>0.296993</v>
      </c>
      <c r="V374" t="n">
        <v>0.392869</v>
      </c>
      <c r="W374" t="n">
        <v>0.463057</v>
      </c>
      <c r="X374" t="n">
        <v>0.018187</v>
      </c>
      <c r="Y374" t="n">
        <v>0.019782</v>
      </c>
      <c r="Z374" t="n">
        <v>0.019698</v>
      </c>
      <c r="AA374" t="n">
        <v>0.015197</v>
      </c>
      <c r="AB374" t="n">
        <v>0.01246</v>
      </c>
      <c r="AC374" t="n">
        <v>0.011637</v>
      </c>
      <c r="AD374" t="n">
        <v>0.011352</v>
      </c>
      <c r="AE374" t="n">
        <v>0.011469</v>
      </c>
      <c r="AF374" t="n">
        <v>0.013468</v>
      </c>
      <c r="AG374" t="n">
        <v>0.01817</v>
      </c>
      <c r="AH374" t="n">
        <v>0.024837</v>
      </c>
      <c r="AI374" t="n">
        <v>0.028329</v>
      </c>
    </row>
    <row r="375">
      <c r="A375" t="n">
        <v>87</v>
      </c>
      <c r="B375" s="13" t="n">
        <v>45658</v>
      </c>
      <c r="C375" s="13" t="n">
        <v>46022</v>
      </c>
      <c r="D375" s="13" t="n">
        <v>45658</v>
      </c>
      <c r="E375" t="n">
        <v>0</v>
      </c>
      <c r="F375" s="13" t="n">
        <v>46022</v>
      </c>
      <c r="G375" t="n">
        <v>3.37968</v>
      </c>
      <c r="H375" t="n">
        <v>1.480522</v>
      </c>
      <c r="I375" t="n">
        <v>0.926023</v>
      </c>
      <c r="J375" t="n">
        <v>0.799049</v>
      </c>
      <c r="K375" t="n">
        <v>1.466911</v>
      </c>
      <c r="L375" t="n">
        <v>0.594348</v>
      </c>
      <c r="M375" t="n">
        <v>0.483072</v>
      </c>
      <c r="N375" t="n">
        <v>0.52817</v>
      </c>
      <c r="O375" t="n">
        <v>0.426145</v>
      </c>
      <c r="P375" t="n">
        <v>0.320898</v>
      </c>
      <c r="Q375" t="n">
        <v>0.257379</v>
      </c>
      <c r="R375" t="n">
        <v>0.255137</v>
      </c>
      <c r="S375" t="n">
        <v>0.23724</v>
      </c>
      <c r="T375" t="n">
        <v>0.27349</v>
      </c>
      <c r="U375" t="n">
        <v>0.409551</v>
      </c>
      <c r="V375" t="n">
        <v>0.5659110000000001</v>
      </c>
      <c r="W375" t="n">
        <v>0.640131</v>
      </c>
      <c r="X375" t="n">
        <v>0.036362</v>
      </c>
      <c r="Y375" t="n">
        <v>0.03272</v>
      </c>
      <c r="Z375" t="n">
        <v>0.032313</v>
      </c>
      <c r="AA375" t="n">
        <v>0.02694</v>
      </c>
      <c r="AB375" t="n">
        <v>0.019632</v>
      </c>
      <c r="AC375" t="n">
        <v>0.016271</v>
      </c>
      <c r="AD375" t="n">
        <v>0.015609</v>
      </c>
      <c r="AE375" t="n">
        <v>0.014514</v>
      </c>
      <c r="AF375" t="n">
        <v>0.01729</v>
      </c>
      <c r="AG375" t="n">
        <v>0.025056</v>
      </c>
      <c r="AH375" t="n">
        <v>0.035776</v>
      </c>
      <c r="AI375" t="n">
        <v>0.039163</v>
      </c>
    </row>
    <row r="376">
      <c r="A376" t="n">
        <v>87</v>
      </c>
      <c r="B376" s="13" t="n">
        <v>46023</v>
      </c>
      <c r="C376" s="13" t="n">
        <v>46387</v>
      </c>
      <c r="D376" s="13" t="n">
        <v>46023</v>
      </c>
      <c r="E376" t="n">
        <v>0</v>
      </c>
      <c r="F376" s="13" t="n">
        <v>46387</v>
      </c>
      <c r="G376" t="n">
        <v>3.454032</v>
      </c>
      <c r="H376" t="n">
        <v>1.51309313</v>
      </c>
      <c r="I376" t="n">
        <v>0.9463953000000001</v>
      </c>
      <c r="J376" t="n">
        <v>0.8166278</v>
      </c>
      <c r="K376" t="n">
        <v>1.49918237</v>
      </c>
      <c r="L376" t="n">
        <v>0.7167424</v>
      </c>
      <c r="M376" t="n">
        <v>0.521362</v>
      </c>
      <c r="N376" t="n">
        <v>0.49810406</v>
      </c>
      <c r="O376" t="n">
        <v>0.40958669</v>
      </c>
      <c r="P376" t="n">
        <v>0.28542086</v>
      </c>
      <c r="Q376" t="n">
        <v>0.25686642</v>
      </c>
      <c r="R376" t="n">
        <v>0.25607058</v>
      </c>
      <c r="S376" t="n">
        <v>0.23990665</v>
      </c>
      <c r="T376" t="n">
        <v>0.29267953</v>
      </c>
      <c r="U376" t="n">
        <v>0.3254053</v>
      </c>
      <c r="V376" t="n">
        <v>0.59235702</v>
      </c>
      <c r="W376" t="n">
        <v>0.74311511</v>
      </c>
      <c r="X376" t="n">
        <v>0.04384965</v>
      </c>
      <c r="Y376" t="n">
        <v>0.03531393</v>
      </c>
      <c r="Z376" t="n">
        <v>0.03047355</v>
      </c>
      <c r="AA376" t="n">
        <v>0.02589341</v>
      </c>
      <c r="AB376" t="n">
        <v>0.01746179</v>
      </c>
      <c r="AC376" t="n">
        <v>0.01623868</v>
      </c>
      <c r="AD376" t="n">
        <v>0.01566616</v>
      </c>
      <c r="AE376" t="n">
        <v>0.01467727</v>
      </c>
      <c r="AF376" t="n">
        <v>0.01850273</v>
      </c>
      <c r="AG376" t="n">
        <v>0.019908</v>
      </c>
      <c r="AH376" t="n">
        <v>0.03744786</v>
      </c>
      <c r="AI376" t="n">
        <v>0.0454631</v>
      </c>
    </row>
    <row r="377">
      <c r="A377" t="n">
        <v>87</v>
      </c>
      <c r="B377" s="13" t="n">
        <v>46388</v>
      </c>
      <c r="C377" s="13" t="n">
        <v>2958465</v>
      </c>
      <c r="D377" s="13" t="n">
        <v>46388</v>
      </c>
      <c r="E377" t="n">
        <v>1</v>
      </c>
      <c r="G377" t="n">
        <v>3.5300208</v>
      </c>
      <c r="H377" t="n">
        <v>1.54638122</v>
      </c>
      <c r="I377" t="n">
        <v>0.96721603</v>
      </c>
      <c r="J377" t="n">
        <v>0.83459363</v>
      </c>
      <c r="K377" t="n">
        <v>1.53216443</v>
      </c>
      <c r="L377" t="n">
        <v>0.73251075</v>
      </c>
      <c r="M377" t="n">
        <v>0.53283198</v>
      </c>
      <c r="N377" t="n">
        <v>0.50906237</v>
      </c>
      <c r="O377" t="n">
        <v>0.4185976</v>
      </c>
      <c r="P377" t="n">
        <v>0.29170013</v>
      </c>
      <c r="Q377" t="n">
        <v>0.26251749</v>
      </c>
      <c r="R377" t="n">
        <v>0.26170414</v>
      </c>
      <c r="S377" t="n">
        <v>0.24518461</v>
      </c>
      <c r="T377" t="n">
        <v>0.29911849</v>
      </c>
      <c r="U377" t="n">
        <v>0.33256423</v>
      </c>
      <c r="V377" t="n">
        <v>0.6053889</v>
      </c>
      <c r="W377" t="n">
        <v>0.75946367</v>
      </c>
      <c r="X377" t="n">
        <v>0.04481434</v>
      </c>
      <c r="Y377" t="n">
        <v>0.03609084</v>
      </c>
      <c r="Z377" t="n">
        <v>0.03114397</v>
      </c>
      <c r="AA377" t="n">
        <v>0.02646307</v>
      </c>
      <c r="AB377" t="n">
        <v>0.01784595</v>
      </c>
      <c r="AC377" t="n">
        <v>0.01659593</v>
      </c>
      <c r="AD377" t="n">
        <v>0.01601082</v>
      </c>
      <c r="AE377" t="n">
        <v>0.01500017</v>
      </c>
      <c r="AF377" t="n">
        <v>0.01890979</v>
      </c>
      <c r="AG377" t="n">
        <v>0.02034598</v>
      </c>
      <c r="AH377" t="n">
        <v>0.03827171</v>
      </c>
      <c r="AI377" t="n">
        <v>0.04646329</v>
      </c>
    </row>
    <row r="378">
      <c r="A378" t="n">
        <v>88</v>
      </c>
      <c r="B378" s="13" t="n">
        <v>44562</v>
      </c>
      <c r="C378" s="13" t="n">
        <v>44926</v>
      </c>
      <c r="D378" s="13" t="n">
        <v>44562</v>
      </c>
      <c r="E378" t="n">
        <v>0</v>
      </c>
      <c r="F378" s="13" t="n">
        <v>44926</v>
      </c>
      <c r="G378" t="n">
        <v>2.864983</v>
      </c>
      <c r="H378" t="n">
        <v>1.599226</v>
      </c>
      <c r="I378" t="n">
        <v>0.7509980000000001</v>
      </c>
      <c r="J378" t="n">
        <v>0.721844</v>
      </c>
      <c r="K378" t="n">
        <v>1.224304</v>
      </c>
      <c r="L378" t="n">
        <v>0.570518</v>
      </c>
      <c r="M378" t="n">
        <v>0.486625</v>
      </c>
      <c r="N378" t="n">
        <v>0.433269</v>
      </c>
      <c r="O378" t="n">
        <v>0.261205</v>
      </c>
      <c r="P378" t="n">
        <v>0.263913</v>
      </c>
      <c r="Q378" t="n">
        <v>0.243108</v>
      </c>
      <c r="R378" t="n">
        <v>0.231806</v>
      </c>
      <c r="S378" t="n">
        <v>0.346474</v>
      </c>
      <c r="T378" t="n">
        <v>0.244815</v>
      </c>
      <c r="U378" t="n">
        <v>0.309781</v>
      </c>
      <c r="V378" t="n">
        <v>0.39027</v>
      </c>
      <c r="W378" t="n">
        <v>0.427271</v>
      </c>
      <c r="X378" t="n">
        <v>0.034904</v>
      </c>
      <c r="Y378" t="n">
        <v>0.032962</v>
      </c>
      <c r="Z378" t="n">
        <v>0.026507</v>
      </c>
      <c r="AA378" t="n">
        <v>0.016513</v>
      </c>
      <c r="AB378" t="n">
        <v>0.016146</v>
      </c>
      <c r="AC378" t="n">
        <v>0.015369</v>
      </c>
      <c r="AD378" t="n">
        <v>0.014182</v>
      </c>
      <c r="AE378" t="n">
        <v>0.021197</v>
      </c>
      <c r="AF378" t="n">
        <v>0.015477</v>
      </c>
      <c r="AG378" t="n">
        <v>0.018953</v>
      </c>
      <c r="AH378" t="n">
        <v>0.024673</v>
      </c>
      <c r="AI378" t="n">
        <v>0.026141</v>
      </c>
    </row>
    <row r="379">
      <c r="A379" t="n">
        <v>88</v>
      </c>
      <c r="B379" s="13" t="n">
        <v>44927</v>
      </c>
      <c r="C379" s="13" t="n">
        <v>45291</v>
      </c>
      <c r="D379" s="13" t="n">
        <v>44927</v>
      </c>
      <c r="E379" t="n">
        <v>0</v>
      </c>
      <c r="F379" s="13" t="n">
        <v>45291</v>
      </c>
      <c r="G379" t="n">
        <v>2.948069</v>
      </c>
      <c r="H379" t="n">
        <v>1.645604</v>
      </c>
      <c r="I379" t="n">
        <v>0.772777</v>
      </c>
      <c r="J379" t="n">
        <v>0.742778</v>
      </c>
      <c r="K379" t="n">
        <v>1.25981</v>
      </c>
      <c r="L379" t="n">
        <v>0.587063</v>
      </c>
      <c r="M379" t="n">
        <v>0.500738</v>
      </c>
      <c r="N379" t="n">
        <v>0.445834</v>
      </c>
      <c r="O379" t="n">
        <v>0.26878</v>
      </c>
      <c r="P379" t="n">
        <v>0.271567</v>
      </c>
      <c r="Q379" t="n">
        <v>0.250158</v>
      </c>
      <c r="R379" t="n">
        <v>0.238529</v>
      </c>
      <c r="S379" t="n">
        <v>0.356522</v>
      </c>
      <c r="T379" t="n">
        <v>0.251915</v>
      </c>
      <c r="U379" t="n">
        <v>0.318764</v>
      </c>
      <c r="V379" t="n">
        <v>0.401588</v>
      </c>
      <c r="W379" t="n">
        <v>0.439662</v>
      </c>
      <c r="X379" t="n">
        <v>0.035916</v>
      </c>
      <c r="Y379" t="n">
        <v>0.033917</v>
      </c>
      <c r="Z379" t="n">
        <v>0.027276</v>
      </c>
      <c r="AA379" t="n">
        <v>0.016992</v>
      </c>
      <c r="AB379" t="n">
        <v>0.016615</v>
      </c>
      <c r="AC379" t="n">
        <v>0.015815</v>
      </c>
      <c r="AD379" t="n">
        <v>0.014593</v>
      </c>
      <c r="AE379" t="n">
        <v>0.021812</v>
      </c>
      <c r="AF379" t="n">
        <v>0.015926</v>
      </c>
      <c r="AG379" t="n">
        <v>0.019502</v>
      </c>
      <c r="AH379" t="n">
        <v>0.025388</v>
      </c>
      <c r="AI379" t="n">
        <v>0.026899</v>
      </c>
    </row>
    <row r="380">
      <c r="A380" t="n">
        <v>88</v>
      </c>
      <c r="B380" s="13" t="n">
        <v>45292</v>
      </c>
      <c r="C380" s="13" t="n">
        <v>45657</v>
      </c>
      <c r="D380" s="13" t="n">
        <v>45292</v>
      </c>
      <c r="E380" t="n">
        <v>0</v>
      </c>
      <c r="F380" s="13" t="n">
        <v>45657</v>
      </c>
      <c r="G380" t="n">
        <v>3.033562</v>
      </c>
      <c r="H380" t="n">
        <v>1.243903</v>
      </c>
      <c r="I380" t="n">
        <v>0.828917</v>
      </c>
      <c r="J380" t="n">
        <v>0.743014</v>
      </c>
      <c r="K380" t="n">
        <v>1.313085</v>
      </c>
      <c r="L380" t="n">
        <v>0.602437</v>
      </c>
      <c r="M380" t="n">
        <v>0.532202</v>
      </c>
      <c r="N380" t="n">
        <v>0.457509</v>
      </c>
      <c r="O380" t="n">
        <v>0.275818</v>
      </c>
      <c r="P380" t="n">
        <v>0.278678</v>
      </c>
      <c r="Q380" t="n">
        <v>0.256709</v>
      </c>
      <c r="R380" t="n">
        <v>0.244775</v>
      </c>
      <c r="S380" t="n">
        <v>0.365858</v>
      </c>
      <c r="T380" t="n">
        <v>0.258512</v>
      </c>
      <c r="U380" t="n">
        <v>0.327112</v>
      </c>
      <c r="V380" t="n">
        <v>0.412104</v>
      </c>
      <c r="W380" t="n">
        <v>0.451176</v>
      </c>
      <c r="X380" t="n">
        <v>0.036857</v>
      </c>
      <c r="Y380" t="n">
        <v>0.034805</v>
      </c>
      <c r="Z380" t="n">
        <v>0.02799</v>
      </c>
      <c r="AA380" t="n">
        <v>0.017437</v>
      </c>
      <c r="AB380" t="n">
        <v>0.017049</v>
      </c>
      <c r="AC380" t="n">
        <v>0.016229</v>
      </c>
      <c r="AD380" t="n">
        <v>0.014975</v>
      </c>
      <c r="AE380" t="n">
        <v>0.022383</v>
      </c>
      <c r="AF380" t="n">
        <v>0.016343</v>
      </c>
      <c r="AG380" t="n">
        <v>0.020012</v>
      </c>
      <c r="AH380" t="n">
        <v>0.026053</v>
      </c>
      <c r="AI380" t="n">
        <v>0.027603</v>
      </c>
    </row>
    <row r="381">
      <c r="A381" t="n">
        <v>88</v>
      </c>
      <c r="B381" s="13" t="n">
        <v>45658</v>
      </c>
      <c r="C381" s="13" t="n">
        <v>46022</v>
      </c>
      <c r="D381" s="13" t="n">
        <v>45658</v>
      </c>
      <c r="E381" t="n">
        <v>0</v>
      </c>
      <c r="F381" s="13" t="n">
        <v>46022</v>
      </c>
      <c r="G381" t="n">
        <v>3.37968</v>
      </c>
      <c r="H381" t="n">
        <v>1.480522</v>
      </c>
      <c r="I381" t="n">
        <v>0.926023</v>
      </c>
      <c r="J381" t="n">
        <v>0.799049</v>
      </c>
      <c r="K381" t="n">
        <v>1.466911</v>
      </c>
      <c r="L381" t="n">
        <v>0.594348</v>
      </c>
      <c r="M381" t="n">
        <v>0.483072</v>
      </c>
      <c r="N381" t="n">
        <v>0.52817</v>
      </c>
      <c r="O381" t="n">
        <v>0.426145</v>
      </c>
      <c r="P381" t="n">
        <v>0.320898</v>
      </c>
      <c r="Q381" t="n">
        <v>0.257379</v>
      </c>
      <c r="R381" t="n">
        <v>0.255137</v>
      </c>
      <c r="S381" t="n">
        <v>0.23724</v>
      </c>
      <c r="T381" t="n">
        <v>0.27349</v>
      </c>
      <c r="U381" t="n">
        <v>0.409551</v>
      </c>
      <c r="V381" t="n">
        <v>0.5659110000000001</v>
      </c>
      <c r="W381" t="n">
        <v>0.640131</v>
      </c>
      <c r="X381" t="n">
        <v>0.036362</v>
      </c>
      <c r="Y381" t="n">
        <v>0.03272</v>
      </c>
      <c r="Z381" t="n">
        <v>0.032313</v>
      </c>
      <c r="AA381" t="n">
        <v>0.02694</v>
      </c>
      <c r="AB381" t="n">
        <v>0.019632</v>
      </c>
      <c r="AC381" t="n">
        <v>0.016271</v>
      </c>
      <c r="AD381" t="n">
        <v>0.015609</v>
      </c>
      <c r="AE381" t="n">
        <v>0.014514</v>
      </c>
      <c r="AF381" t="n">
        <v>0.01729</v>
      </c>
      <c r="AG381" t="n">
        <v>0.025056</v>
      </c>
      <c r="AH381" t="n">
        <v>0.035776</v>
      </c>
      <c r="AI381" t="n">
        <v>0.039163</v>
      </c>
    </row>
    <row r="382">
      <c r="A382" t="n">
        <v>88</v>
      </c>
      <c r="B382" s="13" t="n">
        <v>46023</v>
      </c>
      <c r="C382" s="13" t="n">
        <v>46387</v>
      </c>
      <c r="D382" s="13" t="n">
        <v>46023</v>
      </c>
      <c r="E382" t="n">
        <v>0</v>
      </c>
      <c r="F382" s="13" t="n">
        <v>46387</v>
      </c>
      <c r="G382" t="n">
        <v>3.454032</v>
      </c>
      <c r="H382" t="n">
        <v>1.51309313</v>
      </c>
      <c r="I382" t="n">
        <v>0.9463953000000001</v>
      </c>
      <c r="J382" t="n">
        <v>0.8166278</v>
      </c>
      <c r="K382" t="n">
        <v>1.49918237</v>
      </c>
      <c r="L382" t="n">
        <v>0.7167424</v>
      </c>
      <c r="M382" t="n">
        <v>0.521362</v>
      </c>
      <c r="N382" t="n">
        <v>0.49810406</v>
      </c>
      <c r="O382" t="n">
        <v>0.40958669</v>
      </c>
      <c r="P382" t="n">
        <v>0.28542086</v>
      </c>
      <c r="Q382" t="n">
        <v>0.25686642</v>
      </c>
      <c r="R382" t="n">
        <v>0.25607058</v>
      </c>
      <c r="S382" t="n">
        <v>0.23990665</v>
      </c>
      <c r="T382" t="n">
        <v>0.29267953</v>
      </c>
      <c r="U382" t="n">
        <v>0.3254053</v>
      </c>
      <c r="V382" t="n">
        <v>0.59235702</v>
      </c>
      <c r="W382" t="n">
        <v>0.74311511</v>
      </c>
      <c r="X382" t="n">
        <v>0.04384965</v>
      </c>
      <c r="Y382" t="n">
        <v>0.03531393</v>
      </c>
      <c r="Z382" t="n">
        <v>0.03047355</v>
      </c>
      <c r="AA382" t="n">
        <v>0.02589341</v>
      </c>
      <c r="AB382" t="n">
        <v>0.01746179</v>
      </c>
      <c r="AC382" t="n">
        <v>0.01623868</v>
      </c>
      <c r="AD382" t="n">
        <v>0.01566616</v>
      </c>
      <c r="AE382" t="n">
        <v>0.01467727</v>
      </c>
      <c r="AF382" t="n">
        <v>0.01850273</v>
      </c>
      <c r="AG382" t="n">
        <v>0.019908</v>
      </c>
      <c r="AH382" t="n">
        <v>0.03744786</v>
      </c>
      <c r="AI382" t="n">
        <v>0.0454631</v>
      </c>
    </row>
    <row r="383">
      <c r="A383" t="n">
        <v>88</v>
      </c>
      <c r="B383" s="13" t="n">
        <v>46388</v>
      </c>
      <c r="C383" s="13" t="n">
        <v>2958465</v>
      </c>
      <c r="D383" s="13" t="n">
        <v>46388</v>
      </c>
      <c r="E383" t="n">
        <v>1</v>
      </c>
      <c r="G383" t="n">
        <v>3.5300208</v>
      </c>
      <c r="H383" t="n">
        <v>1.54638122</v>
      </c>
      <c r="I383" t="n">
        <v>0.96721603</v>
      </c>
      <c r="J383" t="n">
        <v>0.83459363</v>
      </c>
      <c r="K383" t="n">
        <v>1.53216443</v>
      </c>
      <c r="L383" t="n">
        <v>0.73251075</v>
      </c>
      <c r="M383" t="n">
        <v>0.53283198</v>
      </c>
      <c r="N383" t="n">
        <v>0.50906237</v>
      </c>
      <c r="O383" t="n">
        <v>0.4185976</v>
      </c>
      <c r="P383" t="n">
        <v>0.29170013</v>
      </c>
      <c r="Q383" t="n">
        <v>0.26251749</v>
      </c>
      <c r="R383" t="n">
        <v>0.26170414</v>
      </c>
      <c r="S383" t="n">
        <v>0.24518461</v>
      </c>
      <c r="T383" t="n">
        <v>0.29911849</v>
      </c>
      <c r="U383" t="n">
        <v>0.33256423</v>
      </c>
      <c r="V383" t="n">
        <v>0.6053889</v>
      </c>
      <c r="W383" t="n">
        <v>0.75946367</v>
      </c>
      <c r="X383" t="n">
        <v>0.04481434</v>
      </c>
      <c r="Y383" t="n">
        <v>0.03609084</v>
      </c>
      <c r="Z383" t="n">
        <v>0.03114397</v>
      </c>
      <c r="AA383" t="n">
        <v>0.02646307</v>
      </c>
      <c r="AB383" t="n">
        <v>0.01784595</v>
      </c>
      <c r="AC383" t="n">
        <v>0.01659593</v>
      </c>
      <c r="AD383" t="n">
        <v>0.01601082</v>
      </c>
      <c r="AE383" t="n">
        <v>0.01500017</v>
      </c>
      <c r="AF383" t="n">
        <v>0.01890979</v>
      </c>
      <c r="AG383" t="n">
        <v>0.02034598</v>
      </c>
      <c r="AH383" t="n">
        <v>0.03827171</v>
      </c>
      <c r="AI383" t="n">
        <v>0.04646329</v>
      </c>
    </row>
    <row r="384">
      <c r="A384" t="n">
        <v>89</v>
      </c>
      <c r="B384" s="13" t="n">
        <v>44562</v>
      </c>
      <c r="C384" s="13" t="n">
        <v>44926</v>
      </c>
      <c r="D384" s="13" t="n">
        <v>44562</v>
      </c>
      <c r="E384" t="n">
        <v>0</v>
      </c>
      <c r="F384" s="13" t="n">
        <v>44926</v>
      </c>
      <c r="G384" t="n">
        <v>0.697416</v>
      </c>
      <c r="H384" t="n">
        <v>0.389296</v>
      </c>
      <c r="I384" t="n">
        <v>0.182814</v>
      </c>
      <c r="J384" t="n">
        <v>0.175717</v>
      </c>
      <c r="K384" t="n">
        <v>0.29803</v>
      </c>
      <c r="L384" t="n">
        <v>0.13888</v>
      </c>
      <c r="M384" t="n">
        <v>0.118458</v>
      </c>
      <c r="N384" t="n">
        <v>0.10547</v>
      </c>
      <c r="O384" t="n">
        <v>0.063585</v>
      </c>
      <c r="P384" t="n">
        <v>0.064244</v>
      </c>
      <c r="Q384" t="n">
        <v>0.05918</v>
      </c>
      <c r="R384" t="n">
        <v>0.056428</v>
      </c>
      <c r="S384" t="n">
        <v>0.084342</v>
      </c>
      <c r="T384" t="n">
        <v>0.059595</v>
      </c>
      <c r="U384" t="n">
        <v>0.07541</v>
      </c>
      <c r="V384" t="n">
        <v>0.095003</v>
      </c>
      <c r="W384" t="n">
        <v>0.10401</v>
      </c>
      <c r="X384" t="n">
        <v>0.008496999999999999</v>
      </c>
      <c r="Y384" t="n">
        <v>0.008024</v>
      </c>
      <c r="Z384" t="n">
        <v>0.006453</v>
      </c>
      <c r="AA384" t="n">
        <v>0.00402</v>
      </c>
      <c r="AB384" t="n">
        <v>0.003931</v>
      </c>
      <c r="AC384" t="n">
        <v>0.003742</v>
      </c>
      <c r="AD384" t="n">
        <v>0.003453</v>
      </c>
      <c r="AE384" t="n">
        <v>0.00516</v>
      </c>
      <c r="AF384" t="n">
        <v>0.003768</v>
      </c>
      <c r="AG384" t="n">
        <v>0.004614</v>
      </c>
      <c r="AH384" t="n">
        <v>0.006006</v>
      </c>
      <c r="AI384" t="n">
        <v>0.006364</v>
      </c>
    </row>
    <row r="385">
      <c r="A385" t="n">
        <v>89</v>
      </c>
      <c r="B385" s="13" t="n">
        <v>44927</v>
      </c>
      <c r="C385" s="13" t="n">
        <v>45292</v>
      </c>
      <c r="D385" s="13" t="n">
        <v>44927</v>
      </c>
      <c r="E385" t="n">
        <v>0</v>
      </c>
      <c r="F385" s="13" t="n">
        <v>45292</v>
      </c>
      <c r="G385" t="n">
        <v>0.717641</v>
      </c>
      <c r="H385" t="n">
        <v>0.400585</v>
      </c>
      <c r="I385" t="n">
        <v>0.188115</v>
      </c>
      <c r="J385" t="n">
        <v>0.180812</v>
      </c>
      <c r="K385" t="n">
        <v>0.306672</v>
      </c>
      <c r="L385" t="n">
        <v>0.142907</v>
      </c>
      <c r="M385" t="n">
        <v>0.121893</v>
      </c>
      <c r="N385" t="n">
        <v>0.108528</v>
      </c>
      <c r="O385" t="n">
        <v>0.065428</v>
      </c>
      <c r="P385" t="n">
        <v>0.066107</v>
      </c>
      <c r="Q385" t="n">
        <v>0.060895</v>
      </c>
      <c r="R385" t="n">
        <v>0.058064</v>
      </c>
      <c r="S385" t="n">
        <v>0.086787</v>
      </c>
      <c r="T385" t="n">
        <v>0.061323</v>
      </c>
      <c r="U385" t="n">
        <v>0.077596</v>
      </c>
      <c r="V385" t="n">
        <v>0.097757</v>
      </c>
      <c r="W385" t="n">
        <v>0.107026</v>
      </c>
      <c r="X385" t="n">
        <v>0.008743000000000001</v>
      </c>
      <c r="Y385" t="n">
        <v>0.008255999999999999</v>
      </c>
      <c r="Z385" t="n">
        <v>0.00664</v>
      </c>
      <c r="AA385" t="n">
        <v>0.004136</v>
      </c>
      <c r="AB385" t="n">
        <v>0.004044</v>
      </c>
      <c r="AC385" t="n">
        <v>0.00385</v>
      </c>
      <c r="AD385" t="n">
        <v>0.003552</v>
      </c>
      <c r="AE385" t="n">
        <v>0.00531</v>
      </c>
      <c r="AF385" t="n">
        <v>0.003877</v>
      </c>
      <c r="AG385" t="n">
        <v>0.004747</v>
      </c>
      <c r="AH385" t="n">
        <v>0.00618</v>
      </c>
      <c r="AI385" t="n">
        <v>0.006548</v>
      </c>
    </row>
    <row r="386">
      <c r="A386" t="n">
        <v>89</v>
      </c>
      <c r="B386" s="13" t="n">
        <v>45293</v>
      </c>
      <c r="C386" s="13" t="n">
        <v>45657</v>
      </c>
      <c r="D386" s="13" t="n">
        <v>45293</v>
      </c>
      <c r="E386" t="n">
        <v>0</v>
      </c>
      <c r="F386" s="13" t="n">
        <v>45657</v>
      </c>
      <c r="G386" t="n">
        <v>0.738451</v>
      </c>
      <c r="H386" t="n">
        <v>0.3028</v>
      </c>
      <c r="I386" t="n">
        <v>0.201781</v>
      </c>
      <c r="J386" t="n">
        <v>0.185547</v>
      </c>
      <c r="K386" t="n">
        <v>0.31964</v>
      </c>
      <c r="L386" t="n">
        <v>0.09822</v>
      </c>
      <c r="M386" t="n">
        <v>0.099943</v>
      </c>
      <c r="N386" t="n">
        <v>0.106382</v>
      </c>
      <c r="O386" t="n">
        <v>0.079429</v>
      </c>
      <c r="P386" t="n">
        <v>0.06729400000000001</v>
      </c>
      <c r="Q386" t="n">
        <v>0.060822</v>
      </c>
      <c r="R386" t="n">
        <v>0.061308</v>
      </c>
      <c r="S386" t="n">
        <v>0.061943</v>
      </c>
      <c r="T386" t="n">
        <v>0.07038899999999999</v>
      </c>
      <c r="U386" t="n">
        <v>0.09812899999999999</v>
      </c>
      <c r="V386" t="n">
        <v>0.129807</v>
      </c>
      <c r="W386" t="n">
        <v>0.152998</v>
      </c>
      <c r="X386" t="n">
        <v>0.006009</v>
      </c>
      <c r="Y386" t="n">
        <v>0.006536</v>
      </c>
      <c r="Z386" t="n">
        <v>0.006508</v>
      </c>
      <c r="AA386" t="n">
        <v>0.005021</v>
      </c>
      <c r="AB386" t="n">
        <v>0.004117</v>
      </c>
      <c r="AC386" t="n">
        <v>0.003845</v>
      </c>
      <c r="AD386" t="n">
        <v>0.003751</v>
      </c>
      <c r="AE386" t="n">
        <v>0.00379</v>
      </c>
      <c r="AF386" t="n">
        <v>0.00445</v>
      </c>
      <c r="AG386" t="n">
        <v>0.006003</v>
      </c>
      <c r="AH386" t="n">
        <v>0.008206</v>
      </c>
      <c r="AI386" t="n">
        <v>0.00936</v>
      </c>
    </row>
    <row r="387">
      <c r="A387" t="n">
        <v>89</v>
      </c>
      <c r="B387" s="13" t="n">
        <v>45658</v>
      </c>
      <c r="C387" s="13" t="n">
        <v>46022</v>
      </c>
      <c r="D387" s="13" t="n">
        <v>45658</v>
      </c>
      <c r="E387" t="n">
        <v>0</v>
      </c>
      <c r="F387" s="13" t="n">
        <v>46022</v>
      </c>
      <c r="G387" t="n">
        <v>3.37968</v>
      </c>
      <c r="H387" t="n">
        <v>1.480522</v>
      </c>
      <c r="I387" t="n">
        <v>0.926023</v>
      </c>
      <c r="J387" t="n">
        <v>0.799049</v>
      </c>
      <c r="K387" t="n">
        <v>1.466911</v>
      </c>
      <c r="L387" t="n">
        <v>0.594348</v>
      </c>
      <c r="M387" t="n">
        <v>0.483072</v>
      </c>
      <c r="N387" t="n">
        <v>0.52817</v>
      </c>
      <c r="O387" t="n">
        <v>0.426145</v>
      </c>
      <c r="P387" t="n">
        <v>0.320898</v>
      </c>
      <c r="Q387" t="n">
        <v>0.257379</v>
      </c>
      <c r="R387" t="n">
        <v>0.255137</v>
      </c>
      <c r="S387" t="n">
        <v>0.23724</v>
      </c>
      <c r="T387" t="n">
        <v>0.27349</v>
      </c>
      <c r="U387" t="n">
        <v>0.409551</v>
      </c>
      <c r="V387" t="n">
        <v>0.5659110000000001</v>
      </c>
      <c r="W387" t="n">
        <v>0.640131</v>
      </c>
      <c r="X387" t="n">
        <v>0.036362</v>
      </c>
      <c r="Y387" t="n">
        <v>0.03272</v>
      </c>
      <c r="Z387" t="n">
        <v>0.032313</v>
      </c>
      <c r="AA387" t="n">
        <v>0.02694</v>
      </c>
      <c r="AB387" t="n">
        <v>0.019632</v>
      </c>
      <c r="AC387" t="n">
        <v>0.016271</v>
      </c>
      <c r="AD387" t="n">
        <v>0.015609</v>
      </c>
      <c r="AE387" t="n">
        <v>0.014514</v>
      </c>
      <c r="AF387" t="n">
        <v>0.01729</v>
      </c>
      <c r="AG387" t="n">
        <v>0.025056</v>
      </c>
      <c r="AH387" t="n">
        <v>0.035776</v>
      </c>
      <c r="AI387" t="n">
        <v>0.039163</v>
      </c>
    </row>
    <row r="388">
      <c r="A388" t="n">
        <v>89</v>
      </c>
      <c r="B388" s="13" t="n">
        <v>46023</v>
      </c>
      <c r="C388" s="13" t="n">
        <v>46387</v>
      </c>
      <c r="D388" s="13" t="n">
        <v>46023</v>
      </c>
      <c r="E388" t="n">
        <v>0</v>
      </c>
      <c r="F388" s="13" t="n">
        <v>46387</v>
      </c>
      <c r="G388" t="n">
        <v>3.454032</v>
      </c>
      <c r="H388" t="n">
        <v>1.51309313</v>
      </c>
      <c r="I388" t="n">
        <v>0.9463953000000001</v>
      </c>
      <c r="J388" t="n">
        <v>0.8166278</v>
      </c>
      <c r="K388" t="n">
        <v>1.49918237</v>
      </c>
      <c r="L388" t="n">
        <v>0.7167424</v>
      </c>
      <c r="M388" t="n">
        <v>0.521362</v>
      </c>
      <c r="N388" t="n">
        <v>0.49810406</v>
      </c>
      <c r="O388" t="n">
        <v>0.40958669</v>
      </c>
      <c r="P388" t="n">
        <v>0.28542086</v>
      </c>
      <c r="Q388" t="n">
        <v>0.25686642</v>
      </c>
      <c r="R388" t="n">
        <v>0.25607058</v>
      </c>
      <c r="S388" t="n">
        <v>0.23990665</v>
      </c>
      <c r="T388" t="n">
        <v>0.29267953</v>
      </c>
      <c r="U388" t="n">
        <v>0.3254053</v>
      </c>
      <c r="V388" t="n">
        <v>0.59235702</v>
      </c>
      <c r="W388" t="n">
        <v>0.74311511</v>
      </c>
      <c r="X388" t="n">
        <v>0.04384965</v>
      </c>
      <c r="Y388" t="n">
        <v>0.03531393</v>
      </c>
      <c r="Z388" t="n">
        <v>0.03047355</v>
      </c>
      <c r="AA388" t="n">
        <v>0.02589341</v>
      </c>
      <c r="AB388" t="n">
        <v>0.01746179</v>
      </c>
      <c r="AC388" t="n">
        <v>0.01623868</v>
      </c>
      <c r="AD388" t="n">
        <v>0.01566616</v>
      </c>
      <c r="AE388" t="n">
        <v>0.01467727</v>
      </c>
      <c r="AF388" t="n">
        <v>0.01850273</v>
      </c>
      <c r="AG388" t="n">
        <v>0.019908</v>
      </c>
      <c r="AH388" t="n">
        <v>0.03744786</v>
      </c>
      <c r="AI388" t="n">
        <v>0.0454631</v>
      </c>
    </row>
    <row r="389">
      <c r="A389" t="n">
        <v>89</v>
      </c>
      <c r="B389" s="13" t="n">
        <v>46388</v>
      </c>
      <c r="C389" s="13" t="n">
        <v>2958465</v>
      </c>
      <c r="D389" s="13" t="n">
        <v>46388</v>
      </c>
      <c r="E389" t="n">
        <v>1</v>
      </c>
      <c r="G389" t="n">
        <v>3.5300208</v>
      </c>
      <c r="H389" t="n">
        <v>1.54638122</v>
      </c>
      <c r="I389" t="n">
        <v>0.96721603</v>
      </c>
      <c r="J389" t="n">
        <v>0.83459363</v>
      </c>
      <c r="K389" t="n">
        <v>1.53216443</v>
      </c>
      <c r="L389" t="n">
        <v>0.73251075</v>
      </c>
      <c r="M389" t="n">
        <v>0.53283198</v>
      </c>
      <c r="N389" t="n">
        <v>0.50906237</v>
      </c>
      <c r="O389" t="n">
        <v>0.4185976</v>
      </c>
      <c r="P389" t="n">
        <v>0.29170013</v>
      </c>
      <c r="Q389" t="n">
        <v>0.26251749</v>
      </c>
      <c r="R389" t="n">
        <v>0.26170414</v>
      </c>
      <c r="S389" t="n">
        <v>0.24518461</v>
      </c>
      <c r="T389" t="n">
        <v>0.29911849</v>
      </c>
      <c r="U389" t="n">
        <v>0.33256423</v>
      </c>
      <c r="V389" t="n">
        <v>0.6053889</v>
      </c>
      <c r="W389" t="n">
        <v>0.75946367</v>
      </c>
      <c r="X389" t="n">
        <v>0.04481434</v>
      </c>
      <c r="Y389" t="n">
        <v>0.03609084</v>
      </c>
      <c r="Z389" t="n">
        <v>0.03114397</v>
      </c>
      <c r="AA389" t="n">
        <v>0.02646307</v>
      </c>
      <c r="AB389" t="n">
        <v>0.01784595</v>
      </c>
      <c r="AC389" t="n">
        <v>0.01659593</v>
      </c>
      <c r="AD389" t="n">
        <v>0.01601082</v>
      </c>
      <c r="AE389" t="n">
        <v>0.01500017</v>
      </c>
      <c r="AF389" t="n">
        <v>0.01890979</v>
      </c>
      <c r="AG389" t="n">
        <v>0.02034598</v>
      </c>
      <c r="AH389" t="n">
        <v>0.03827171</v>
      </c>
      <c r="AI389" t="n">
        <v>0.04646329</v>
      </c>
    </row>
    <row r="390">
      <c r="A390" t="n">
        <v>90</v>
      </c>
      <c r="B390" s="13" t="n">
        <v>44562</v>
      </c>
      <c r="C390" s="13" t="n">
        <v>44926</v>
      </c>
      <c r="D390" s="13" t="n">
        <v>44562</v>
      </c>
      <c r="E390" t="n">
        <v>0</v>
      </c>
      <c r="F390" s="13" t="n">
        <v>44926</v>
      </c>
      <c r="G390" t="n">
        <v>2.345379</v>
      </c>
      <c r="H390" t="n">
        <v>1.309184</v>
      </c>
      <c r="I390" t="n">
        <v>0.614794</v>
      </c>
      <c r="J390" t="n">
        <v>0.590928</v>
      </c>
      <c r="K390" t="n">
        <v>1.00226</v>
      </c>
      <c r="L390" t="n">
        <v>0.467047</v>
      </c>
      <c r="M390" t="n">
        <v>0.398369</v>
      </c>
      <c r="N390" t="n">
        <v>0.35469</v>
      </c>
      <c r="O390" t="n">
        <v>0.213832</v>
      </c>
      <c r="P390" t="n">
        <v>0.216049</v>
      </c>
      <c r="Q390" t="n">
        <v>0.199017</v>
      </c>
      <c r="R390" t="n">
        <v>0.189765</v>
      </c>
      <c r="S390" t="n">
        <v>0.283636</v>
      </c>
      <c r="T390" t="n">
        <v>0.200415</v>
      </c>
      <c r="U390" t="n">
        <v>0.253598</v>
      </c>
      <c r="V390" t="n">
        <v>0.319489</v>
      </c>
      <c r="W390" t="n">
        <v>0.34978</v>
      </c>
      <c r="X390" t="n">
        <v>0.028574</v>
      </c>
      <c r="Y390" t="n">
        <v>0.026984</v>
      </c>
      <c r="Z390" t="n">
        <v>0.0217</v>
      </c>
      <c r="AA390" t="n">
        <v>0.013519</v>
      </c>
      <c r="AB390" t="n">
        <v>0.013218</v>
      </c>
      <c r="AC390" t="n">
        <v>0.012582</v>
      </c>
      <c r="AD390" t="n">
        <v>0.01161</v>
      </c>
      <c r="AE390" t="n">
        <v>0.017353</v>
      </c>
      <c r="AF390" t="n">
        <v>0.01267</v>
      </c>
      <c r="AG390" t="n">
        <v>0.015515</v>
      </c>
      <c r="AH390" t="n">
        <v>0.020198</v>
      </c>
      <c r="AI390" t="n">
        <v>0.0214</v>
      </c>
    </row>
    <row r="391">
      <c r="A391" t="n">
        <v>90</v>
      </c>
      <c r="B391" s="13" t="n">
        <v>44927</v>
      </c>
      <c r="C391" s="13" t="n">
        <v>45291</v>
      </c>
      <c r="D391" s="13" t="n">
        <v>44927</v>
      </c>
      <c r="E391" t="n">
        <v>0</v>
      </c>
      <c r="F391" s="13" t="n">
        <v>45291</v>
      </c>
      <c r="G391" t="n">
        <v>2.413395</v>
      </c>
      <c r="H391" t="n">
        <v>1.347151</v>
      </c>
      <c r="I391" t="n">
        <v>0.632623</v>
      </c>
      <c r="J391" t="n">
        <v>0.608065</v>
      </c>
      <c r="K391" t="n">
        <v>1.031325</v>
      </c>
      <c r="L391" t="n">
        <v>0.480591</v>
      </c>
      <c r="M391" t="n">
        <v>0.409922</v>
      </c>
      <c r="N391" t="n">
        <v>0.364976</v>
      </c>
      <c r="O391" t="n">
        <v>0.220033</v>
      </c>
      <c r="P391" t="n">
        <v>0.222314</v>
      </c>
      <c r="Q391" t="n">
        <v>0.204789</v>
      </c>
      <c r="R391" t="n">
        <v>0.195268</v>
      </c>
      <c r="S391" t="n">
        <v>0.291862</v>
      </c>
      <c r="T391" t="n">
        <v>0.206227</v>
      </c>
      <c r="U391" t="n">
        <v>0.260952</v>
      </c>
      <c r="V391" t="n">
        <v>0.328754</v>
      </c>
      <c r="W391" t="n">
        <v>0.359923</v>
      </c>
      <c r="X391" t="n">
        <v>0.029403</v>
      </c>
      <c r="Y391" t="n">
        <v>0.027766</v>
      </c>
      <c r="Z391" t="n">
        <v>0.022329</v>
      </c>
      <c r="AA391" t="n">
        <v>0.013911</v>
      </c>
      <c r="AB391" t="n">
        <v>0.013601</v>
      </c>
      <c r="AC391" t="n">
        <v>0.012947</v>
      </c>
      <c r="AD391" t="n">
        <v>0.011947</v>
      </c>
      <c r="AE391" t="n">
        <v>0.017856</v>
      </c>
      <c r="AF391" t="n">
        <v>0.013038</v>
      </c>
      <c r="AG391" t="n">
        <v>0.015965</v>
      </c>
      <c r="AH391" t="n">
        <v>0.020784</v>
      </c>
      <c r="AI391" t="n">
        <v>0.02202</v>
      </c>
    </row>
    <row r="392">
      <c r="A392" t="n">
        <v>90</v>
      </c>
      <c r="B392" s="13" t="n">
        <v>45292</v>
      </c>
      <c r="C392" s="13" t="n">
        <v>45657</v>
      </c>
      <c r="D392" s="13" t="n">
        <v>45292</v>
      </c>
      <c r="E392" t="n">
        <v>0</v>
      </c>
      <c r="F392" s="13" t="n">
        <v>45657</v>
      </c>
      <c r="G392" t="n">
        <v>2.483383</v>
      </c>
      <c r="H392" t="n">
        <v>1.018304</v>
      </c>
      <c r="I392" t="n">
        <v>0.678581</v>
      </c>
      <c r="J392" t="n">
        <v>0.608258</v>
      </c>
      <c r="K392" t="n">
        <v>1.074939</v>
      </c>
      <c r="L392" t="n">
        <v>0.330309</v>
      </c>
      <c r="M392" t="n">
        <v>0.336104</v>
      </c>
      <c r="N392" t="n">
        <v>0.357759</v>
      </c>
      <c r="O392" t="n">
        <v>0.267116</v>
      </c>
      <c r="P392" t="n">
        <v>0.226306</v>
      </c>
      <c r="Q392" t="n">
        <v>0.204543</v>
      </c>
      <c r="R392" t="n">
        <v>0.206176</v>
      </c>
      <c r="S392" t="n">
        <v>0.208311</v>
      </c>
      <c r="T392" t="n">
        <v>0.236715</v>
      </c>
      <c r="U392" t="n">
        <v>0.330004</v>
      </c>
      <c r="V392" t="n">
        <v>0.436536</v>
      </c>
      <c r="W392" t="n">
        <v>0.514526</v>
      </c>
      <c r="X392" t="n">
        <v>0.020208</v>
      </c>
      <c r="Y392" t="n">
        <v>0.021981</v>
      </c>
      <c r="Z392" t="n">
        <v>0.021887</v>
      </c>
      <c r="AA392" t="n">
        <v>0.016887</v>
      </c>
      <c r="AB392" t="n">
        <v>0.013845</v>
      </c>
      <c r="AC392" t="n">
        <v>0.012931</v>
      </c>
      <c r="AD392" t="n">
        <v>0.012614</v>
      </c>
      <c r="AE392" t="n">
        <v>0.012744</v>
      </c>
      <c r="AF392" t="n">
        <v>0.014965</v>
      </c>
      <c r="AG392" t="n">
        <v>0.020189</v>
      </c>
      <c r="AH392" t="n">
        <v>0.027597</v>
      </c>
      <c r="AI392" t="n">
        <v>0.031478</v>
      </c>
    </row>
    <row r="393">
      <c r="A393" t="n">
        <v>90</v>
      </c>
      <c r="B393" s="13" t="n">
        <v>45658</v>
      </c>
      <c r="C393" s="13" t="n">
        <v>46022</v>
      </c>
      <c r="D393" s="13" t="n">
        <v>45658</v>
      </c>
      <c r="E393" t="n">
        <v>0</v>
      </c>
      <c r="F393" s="13" t="n">
        <v>46022</v>
      </c>
      <c r="G393" t="n">
        <v>3.37968</v>
      </c>
      <c r="H393" t="n">
        <v>1.480522</v>
      </c>
      <c r="I393" t="n">
        <v>0.926023</v>
      </c>
      <c r="J393" t="n">
        <v>0.799049</v>
      </c>
      <c r="K393" t="n">
        <v>1.466911</v>
      </c>
      <c r="L393" t="n">
        <v>0.594348</v>
      </c>
      <c r="M393" t="n">
        <v>0.483072</v>
      </c>
      <c r="N393" t="n">
        <v>0.52817</v>
      </c>
      <c r="O393" t="n">
        <v>0.426145</v>
      </c>
      <c r="P393" t="n">
        <v>0.320898</v>
      </c>
      <c r="Q393" t="n">
        <v>0.257379</v>
      </c>
      <c r="R393" t="n">
        <v>0.255137</v>
      </c>
      <c r="S393" t="n">
        <v>0.23724</v>
      </c>
      <c r="T393" t="n">
        <v>0.27349</v>
      </c>
      <c r="U393" t="n">
        <v>0.409551</v>
      </c>
      <c r="V393" t="n">
        <v>0.5659110000000001</v>
      </c>
      <c r="W393" t="n">
        <v>0.640131</v>
      </c>
      <c r="X393" t="n">
        <v>0.036362</v>
      </c>
      <c r="Y393" t="n">
        <v>0.03272</v>
      </c>
      <c r="Z393" t="n">
        <v>0.032313</v>
      </c>
      <c r="AA393" t="n">
        <v>0.02694</v>
      </c>
      <c r="AB393" t="n">
        <v>0.019632</v>
      </c>
      <c r="AC393" t="n">
        <v>0.016271</v>
      </c>
      <c r="AD393" t="n">
        <v>0.015609</v>
      </c>
      <c r="AE393" t="n">
        <v>0.014514</v>
      </c>
      <c r="AF393" t="n">
        <v>0.01729</v>
      </c>
      <c r="AG393" t="n">
        <v>0.025056</v>
      </c>
      <c r="AH393" t="n">
        <v>0.035776</v>
      </c>
      <c r="AI393" t="n">
        <v>0.039163</v>
      </c>
    </row>
    <row r="394">
      <c r="A394" t="n">
        <v>90</v>
      </c>
      <c r="B394" s="13" t="n">
        <v>46023</v>
      </c>
      <c r="C394" s="13" t="n">
        <v>46387</v>
      </c>
      <c r="D394" s="13" t="n">
        <v>46023</v>
      </c>
      <c r="E394" t="n">
        <v>0</v>
      </c>
      <c r="F394" s="13" t="n">
        <v>46387</v>
      </c>
      <c r="G394" t="n">
        <v>3.454032</v>
      </c>
      <c r="H394" t="n">
        <v>1.51309313</v>
      </c>
      <c r="I394" t="n">
        <v>0.9463953000000001</v>
      </c>
      <c r="J394" t="n">
        <v>0.8166278</v>
      </c>
      <c r="K394" t="n">
        <v>1.49918237</v>
      </c>
      <c r="L394" t="n">
        <v>0.7167424</v>
      </c>
      <c r="M394" t="n">
        <v>0.521362</v>
      </c>
      <c r="N394" t="n">
        <v>0.49810406</v>
      </c>
      <c r="O394" t="n">
        <v>0.40958669</v>
      </c>
      <c r="P394" t="n">
        <v>0.28542086</v>
      </c>
      <c r="Q394" t="n">
        <v>0.25686642</v>
      </c>
      <c r="R394" t="n">
        <v>0.25607058</v>
      </c>
      <c r="S394" t="n">
        <v>0.23990665</v>
      </c>
      <c r="T394" t="n">
        <v>0.29267953</v>
      </c>
      <c r="U394" t="n">
        <v>0.3254053</v>
      </c>
      <c r="V394" t="n">
        <v>0.59235702</v>
      </c>
      <c r="W394" t="n">
        <v>0.74311511</v>
      </c>
      <c r="X394" t="n">
        <v>0.04384965</v>
      </c>
      <c r="Y394" t="n">
        <v>0.03531393</v>
      </c>
      <c r="Z394" t="n">
        <v>0.03047355</v>
      </c>
      <c r="AA394" t="n">
        <v>0.02589341</v>
      </c>
      <c r="AB394" t="n">
        <v>0.01746179</v>
      </c>
      <c r="AC394" t="n">
        <v>0.01623868</v>
      </c>
      <c r="AD394" t="n">
        <v>0.01566616</v>
      </c>
      <c r="AE394" t="n">
        <v>0.01467727</v>
      </c>
      <c r="AF394" t="n">
        <v>0.01850273</v>
      </c>
      <c r="AG394" t="n">
        <v>0.019908</v>
      </c>
      <c r="AH394" t="n">
        <v>0.03744786</v>
      </c>
      <c r="AI394" t="n">
        <v>0.0454631</v>
      </c>
    </row>
    <row r="395">
      <c r="A395" t="n">
        <v>90</v>
      </c>
      <c r="B395" s="13" t="n">
        <v>46388</v>
      </c>
      <c r="C395" s="13" t="n">
        <v>2958465</v>
      </c>
      <c r="D395" s="13" t="n">
        <v>46388</v>
      </c>
      <c r="E395" t="n">
        <v>1</v>
      </c>
      <c r="G395" t="n">
        <v>3.5300208</v>
      </c>
      <c r="H395" t="n">
        <v>1.54638122</v>
      </c>
      <c r="I395" t="n">
        <v>0.96721603</v>
      </c>
      <c r="J395" t="n">
        <v>0.83459363</v>
      </c>
      <c r="K395" t="n">
        <v>1.53216443</v>
      </c>
      <c r="L395" t="n">
        <v>0.73251075</v>
      </c>
      <c r="M395" t="n">
        <v>0.53283198</v>
      </c>
      <c r="N395" t="n">
        <v>0.50906237</v>
      </c>
      <c r="O395" t="n">
        <v>0.4185976</v>
      </c>
      <c r="P395" t="n">
        <v>0.29170013</v>
      </c>
      <c r="Q395" t="n">
        <v>0.26251749</v>
      </c>
      <c r="R395" t="n">
        <v>0.26170414</v>
      </c>
      <c r="S395" t="n">
        <v>0.24518461</v>
      </c>
      <c r="T395" t="n">
        <v>0.29911849</v>
      </c>
      <c r="U395" t="n">
        <v>0.33256423</v>
      </c>
      <c r="V395" t="n">
        <v>0.6053889</v>
      </c>
      <c r="W395" t="n">
        <v>0.75946367</v>
      </c>
      <c r="X395" t="n">
        <v>0.04481434</v>
      </c>
      <c r="Y395" t="n">
        <v>0.03609084</v>
      </c>
      <c r="Z395" t="n">
        <v>0.03114397</v>
      </c>
      <c r="AA395" t="n">
        <v>0.02646307</v>
      </c>
      <c r="AB395" t="n">
        <v>0.01784595</v>
      </c>
      <c r="AC395" t="n">
        <v>0.01659593</v>
      </c>
      <c r="AD395" t="n">
        <v>0.01601082</v>
      </c>
      <c r="AE395" t="n">
        <v>0.01500017</v>
      </c>
      <c r="AF395" t="n">
        <v>0.01890979</v>
      </c>
      <c r="AG395" t="n">
        <v>0.02034598</v>
      </c>
      <c r="AH395" t="n">
        <v>0.03827171</v>
      </c>
      <c r="AI395" t="n">
        <v>0.04646329</v>
      </c>
    </row>
    <row r="396">
      <c r="A396" t="n">
        <v>91</v>
      </c>
      <c r="B396" s="13" t="n">
        <v>44562</v>
      </c>
      <c r="C396" s="13" t="n">
        <v>44926</v>
      </c>
      <c r="D396" s="13" t="n">
        <v>44562</v>
      </c>
      <c r="E396" t="n">
        <v>0</v>
      </c>
      <c r="F396" s="13" t="n">
        <v>44926</v>
      </c>
      <c r="G396" t="n">
        <v>2.578263</v>
      </c>
      <c r="H396" t="n">
        <v>1.43918</v>
      </c>
      <c r="I396" t="n">
        <v>0.67584</v>
      </c>
      <c r="J396" t="n">
        <v>0.649604</v>
      </c>
      <c r="K396" t="n">
        <v>1.101779</v>
      </c>
      <c r="L396" t="n">
        <v>0.513422</v>
      </c>
      <c r="M396" t="n">
        <v>0.437925</v>
      </c>
      <c r="N396" t="n">
        <v>0.389909</v>
      </c>
      <c r="O396" t="n">
        <v>0.235064</v>
      </c>
      <c r="P396" t="n">
        <v>0.237502</v>
      </c>
      <c r="Q396" t="n">
        <v>0.218778</v>
      </c>
      <c r="R396" t="n">
        <v>0.208608</v>
      </c>
      <c r="S396" t="n">
        <v>0.3118</v>
      </c>
      <c r="T396" t="n">
        <v>0.220315</v>
      </c>
      <c r="U396" t="n">
        <v>0.278778</v>
      </c>
      <c r="V396" t="n">
        <v>0.351213</v>
      </c>
      <c r="W396" t="n">
        <v>0.384511</v>
      </c>
      <c r="X396" t="n">
        <v>0.031411</v>
      </c>
      <c r="Y396" t="n">
        <v>0.029663</v>
      </c>
      <c r="Z396" t="n">
        <v>0.023855</v>
      </c>
      <c r="AA396" t="n">
        <v>0.014861</v>
      </c>
      <c r="AB396" t="n">
        <v>0.014531</v>
      </c>
      <c r="AC396" t="n">
        <v>0.013831</v>
      </c>
      <c r="AD396" t="n">
        <v>0.012763</v>
      </c>
      <c r="AE396" t="n">
        <v>0.019076</v>
      </c>
      <c r="AF396" t="n">
        <v>0.013928</v>
      </c>
      <c r="AG396" t="n">
        <v>0.017056</v>
      </c>
      <c r="AH396" t="n">
        <v>0.022204</v>
      </c>
      <c r="AI396" t="n">
        <v>0.023524</v>
      </c>
    </row>
    <row r="397">
      <c r="A397" t="n">
        <v>91</v>
      </c>
      <c r="B397" s="13" t="n">
        <v>44927</v>
      </c>
      <c r="C397" s="13" t="n">
        <v>45291</v>
      </c>
      <c r="D397" s="13" t="n">
        <v>44927</v>
      </c>
      <c r="E397" t="n">
        <v>0</v>
      </c>
      <c r="F397" s="13" t="n">
        <v>45291</v>
      </c>
      <c r="G397" t="n">
        <v>2.653032</v>
      </c>
      <c r="H397" t="n">
        <v>1.480916</v>
      </c>
      <c r="I397" t="n">
        <v>0.695439</v>
      </c>
      <c r="J397" t="n">
        <v>0.668442</v>
      </c>
      <c r="K397" t="n">
        <v>1.13373</v>
      </c>
      <c r="L397" t="n">
        <v>0.528311</v>
      </c>
      <c r="M397" t="n">
        <v>0.450625</v>
      </c>
      <c r="N397" t="n">
        <v>0.401216</v>
      </c>
      <c r="O397" t="n">
        <v>0.241881</v>
      </c>
      <c r="P397" t="n">
        <v>0.244389</v>
      </c>
      <c r="Q397" t="n">
        <v>0.225123</v>
      </c>
      <c r="R397" t="n">
        <v>0.214657</v>
      </c>
      <c r="S397" t="n">
        <v>0.320842</v>
      </c>
      <c r="T397" t="n">
        <v>0.226704</v>
      </c>
      <c r="U397" t="n">
        <v>0.286863</v>
      </c>
      <c r="V397" t="n">
        <v>0.361398</v>
      </c>
      <c r="W397" t="n">
        <v>0.395662</v>
      </c>
      <c r="X397" t="n">
        <v>0.032322</v>
      </c>
      <c r="Y397" t="n">
        <v>0.030523</v>
      </c>
      <c r="Z397" t="n">
        <v>0.024546</v>
      </c>
      <c r="AA397" t="n">
        <v>0.015292</v>
      </c>
      <c r="AB397" t="n">
        <v>0.014952</v>
      </c>
      <c r="AC397" t="n">
        <v>0.014232</v>
      </c>
      <c r="AD397" t="n">
        <v>0.013133</v>
      </c>
      <c r="AE397" t="n">
        <v>0.019629</v>
      </c>
      <c r="AF397" t="n">
        <v>0.014332</v>
      </c>
      <c r="AG397" t="n">
        <v>0.01755</v>
      </c>
      <c r="AH397" t="n">
        <v>0.022847</v>
      </c>
      <c r="AI397" t="n">
        <v>0.024207</v>
      </c>
    </row>
    <row r="398">
      <c r="A398" t="n">
        <v>91</v>
      </c>
      <c r="B398" s="13" t="n">
        <v>45292</v>
      </c>
      <c r="C398" s="13" t="n">
        <v>45657</v>
      </c>
      <c r="D398" s="13" t="n">
        <v>45292</v>
      </c>
      <c r="E398" t="n">
        <v>0</v>
      </c>
      <c r="F398" s="13" t="n">
        <v>45657</v>
      </c>
      <c r="G398" t="n">
        <v>2.729969</v>
      </c>
      <c r="H398" t="n">
        <v>1.119416</v>
      </c>
      <c r="I398" t="n">
        <v>0.74596</v>
      </c>
      <c r="J398" t="n">
        <v>0.668654</v>
      </c>
      <c r="K398" t="n">
        <v>1.181674</v>
      </c>
      <c r="L398" t="n">
        <v>0.363107</v>
      </c>
      <c r="M398" t="n">
        <v>0.369477</v>
      </c>
      <c r="N398" t="n">
        <v>0.393282</v>
      </c>
      <c r="O398" t="n">
        <v>0.293639</v>
      </c>
      <c r="P398" t="n">
        <v>0.248777</v>
      </c>
      <c r="Q398" t="n">
        <v>0.224853</v>
      </c>
      <c r="R398" t="n">
        <v>0.226649</v>
      </c>
      <c r="S398" t="n">
        <v>0.228996</v>
      </c>
      <c r="T398" t="n">
        <v>0.26022</v>
      </c>
      <c r="U398" t="n">
        <v>0.362772</v>
      </c>
      <c r="V398" t="n">
        <v>0.479882</v>
      </c>
      <c r="W398" t="n">
        <v>0.565616</v>
      </c>
      <c r="X398" t="n">
        <v>0.022215</v>
      </c>
      <c r="Y398" t="n">
        <v>0.024163</v>
      </c>
      <c r="Z398" t="n">
        <v>0.024061</v>
      </c>
      <c r="AA398" t="n">
        <v>0.018563</v>
      </c>
      <c r="AB398" t="n">
        <v>0.01522</v>
      </c>
      <c r="AC398" t="n">
        <v>0.014215</v>
      </c>
      <c r="AD398" t="n">
        <v>0.013866</v>
      </c>
      <c r="AE398" t="n">
        <v>0.01401</v>
      </c>
      <c r="AF398" t="n">
        <v>0.016451</v>
      </c>
      <c r="AG398" t="n">
        <v>0.022194</v>
      </c>
      <c r="AH398" t="n">
        <v>0.030337</v>
      </c>
      <c r="AI398" t="n">
        <v>0.034604</v>
      </c>
    </row>
    <row r="399">
      <c r="A399" t="n">
        <v>91</v>
      </c>
      <c r="B399" s="13" t="n">
        <v>45658</v>
      </c>
      <c r="C399" s="13" t="n">
        <v>46022</v>
      </c>
      <c r="D399" s="13" t="n">
        <v>45658</v>
      </c>
      <c r="E399" t="n">
        <v>0</v>
      </c>
      <c r="F399" s="13" t="n">
        <v>46022</v>
      </c>
      <c r="G399" t="n">
        <v>3.37968</v>
      </c>
      <c r="H399" t="n">
        <v>1.480522</v>
      </c>
      <c r="I399" t="n">
        <v>0.926023</v>
      </c>
      <c r="J399" t="n">
        <v>0.799049</v>
      </c>
      <c r="K399" t="n">
        <v>1.466911</v>
      </c>
      <c r="L399" t="n">
        <v>0.594348</v>
      </c>
      <c r="M399" t="n">
        <v>0.483072</v>
      </c>
      <c r="N399" t="n">
        <v>0.52817</v>
      </c>
      <c r="O399" t="n">
        <v>0.426145</v>
      </c>
      <c r="P399" t="n">
        <v>0.320898</v>
      </c>
      <c r="Q399" t="n">
        <v>0.257379</v>
      </c>
      <c r="R399" t="n">
        <v>0.255137</v>
      </c>
      <c r="S399" t="n">
        <v>0.23724</v>
      </c>
      <c r="T399" t="n">
        <v>0.27349</v>
      </c>
      <c r="U399" t="n">
        <v>0.409551</v>
      </c>
      <c r="V399" t="n">
        <v>0.5659110000000001</v>
      </c>
      <c r="W399" t="n">
        <v>0.640131</v>
      </c>
      <c r="X399" t="n">
        <v>0.036362</v>
      </c>
      <c r="Y399" t="n">
        <v>0.03272</v>
      </c>
      <c r="Z399" t="n">
        <v>0.032313</v>
      </c>
      <c r="AA399" t="n">
        <v>0.02694</v>
      </c>
      <c r="AB399" t="n">
        <v>0.019632</v>
      </c>
      <c r="AC399" t="n">
        <v>0.016271</v>
      </c>
      <c r="AD399" t="n">
        <v>0.015609</v>
      </c>
      <c r="AE399" t="n">
        <v>0.014514</v>
      </c>
      <c r="AF399" t="n">
        <v>0.01729</v>
      </c>
      <c r="AG399" t="n">
        <v>0.025056</v>
      </c>
      <c r="AH399" t="n">
        <v>0.035776</v>
      </c>
      <c r="AI399" t="n">
        <v>0.039163</v>
      </c>
    </row>
    <row r="400">
      <c r="A400" t="n">
        <v>91</v>
      </c>
      <c r="B400" s="13" t="n">
        <v>46023</v>
      </c>
      <c r="C400" s="13" t="n">
        <v>46387</v>
      </c>
      <c r="D400" s="13" t="n">
        <v>46023</v>
      </c>
      <c r="E400" t="n">
        <v>0</v>
      </c>
      <c r="F400" s="13" t="n">
        <v>46387</v>
      </c>
      <c r="G400" t="n">
        <v>3.454032</v>
      </c>
      <c r="H400" t="n">
        <v>1.51309313</v>
      </c>
      <c r="I400" t="n">
        <v>0.9463953000000001</v>
      </c>
      <c r="J400" t="n">
        <v>0.8166278</v>
      </c>
      <c r="K400" t="n">
        <v>1.49918237</v>
      </c>
      <c r="L400" t="n">
        <v>0.7167424</v>
      </c>
      <c r="M400" t="n">
        <v>0.521362</v>
      </c>
      <c r="N400" t="n">
        <v>0.49810406</v>
      </c>
      <c r="O400" t="n">
        <v>0.40958669</v>
      </c>
      <c r="P400" t="n">
        <v>0.28542086</v>
      </c>
      <c r="Q400" t="n">
        <v>0.25686642</v>
      </c>
      <c r="R400" t="n">
        <v>0.25607058</v>
      </c>
      <c r="S400" t="n">
        <v>0.23990665</v>
      </c>
      <c r="T400" t="n">
        <v>0.29267953</v>
      </c>
      <c r="U400" t="n">
        <v>0.3254053</v>
      </c>
      <c r="V400" t="n">
        <v>0.59235702</v>
      </c>
      <c r="W400" t="n">
        <v>0.74311511</v>
      </c>
      <c r="X400" t="n">
        <v>0.04384965</v>
      </c>
      <c r="Y400" t="n">
        <v>0.03531393</v>
      </c>
      <c r="Z400" t="n">
        <v>0.03047355</v>
      </c>
      <c r="AA400" t="n">
        <v>0.02589341</v>
      </c>
      <c r="AB400" t="n">
        <v>0.01746179</v>
      </c>
      <c r="AC400" t="n">
        <v>0.01623868</v>
      </c>
      <c r="AD400" t="n">
        <v>0.01566616</v>
      </c>
      <c r="AE400" t="n">
        <v>0.01467727</v>
      </c>
      <c r="AF400" t="n">
        <v>0.01850273</v>
      </c>
      <c r="AG400" t="n">
        <v>0.019908</v>
      </c>
      <c r="AH400" t="n">
        <v>0.03744786</v>
      </c>
      <c r="AI400" t="n">
        <v>0.0454631</v>
      </c>
    </row>
    <row r="401">
      <c r="A401" t="n">
        <v>91</v>
      </c>
      <c r="B401" s="13" t="n">
        <v>46388</v>
      </c>
      <c r="C401" s="13" t="n">
        <v>2958465</v>
      </c>
      <c r="D401" s="13" t="n">
        <v>46388</v>
      </c>
      <c r="E401" t="n">
        <v>1</v>
      </c>
      <c r="G401" t="n">
        <v>3.5300208</v>
      </c>
      <c r="H401" t="n">
        <v>1.54638122</v>
      </c>
      <c r="I401" t="n">
        <v>0.96721603</v>
      </c>
      <c r="J401" t="n">
        <v>0.83459363</v>
      </c>
      <c r="K401" t="n">
        <v>1.53216443</v>
      </c>
      <c r="L401" t="n">
        <v>0.73251075</v>
      </c>
      <c r="M401" t="n">
        <v>0.53283198</v>
      </c>
      <c r="N401" t="n">
        <v>0.50906237</v>
      </c>
      <c r="O401" t="n">
        <v>0.4185976</v>
      </c>
      <c r="P401" t="n">
        <v>0.29170013</v>
      </c>
      <c r="Q401" t="n">
        <v>0.26251749</v>
      </c>
      <c r="R401" t="n">
        <v>0.26170414</v>
      </c>
      <c r="S401" t="n">
        <v>0.24518461</v>
      </c>
      <c r="T401" t="n">
        <v>0.29911849</v>
      </c>
      <c r="U401" t="n">
        <v>0.33256423</v>
      </c>
      <c r="V401" t="n">
        <v>0.6053889</v>
      </c>
      <c r="W401" t="n">
        <v>0.75946367</v>
      </c>
      <c r="X401" t="n">
        <v>0.04481434</v>
      </c>
      <c r="Y401" t="n">
        <v>0.03609084</v>
      </c>
      <c r="Z401" t="n">
        <v>0.03114397</v>
      </c>
      <c r="AA401" t="n">
        <v>0.02646307</v>
      </c>
      <c r="AB401" t="n">
        <v>0.01784595</v>
      </c>
      <c r="AC401" t="n">
        <v>0.01659593</v>
      </c>
      <c r="AD401" t="n">
        <v>0.01601082</v>
      </c>
      <c r="AE401" t="n">
        <v>0.01500017</v>
      </c>
      <c r="AF401" t="n">
        <v>0.01890979</v>
      </c>
      <c r="AG401" t="n">
        <v>0.02034598</v>
      </c>
      <c r="AH401" t="n">
        <v>0.03827171</v>
      </c>
      <c r="AI401" t="n">
        <v>0.04646329</v>
      </c>
    </row>
    <row r="402">
      <c r="A402" t="n">
        <v>92</v>
      </c>
      <c r="B402" s="13" t="n">
        <v>44562</v>
      </c>
      <c r="C402" s="13" t="n">
        <v>44926</v>
      </c>
      <c r="D402" s="13" t="n">
        <v>44562</v>
      </c>
      <c r="E402" t="n">
        <v>0</v>
      </c>
      <c r="F402" s="13" t="n">
        <v>44926</v>
      </c>
      <c r="G402" t="n">
        <v>0.774713</v>
      </c>
      <c r="H402" t="n">
        <v>0.432443</v>
      </c>
      <c r="I402" t="n">
        <v>0.203076</v>
      </c>
      <c r="J402" t="n">
        <v>0.195192</v>
      </c>
      <c r="K402" t="n">
        <v>0.331061</v>
      </c>
      <c r="L402" t="n">
        <v>0.154273</v>
      </c>
      <c r="M402" t="n">
        <v>0.131587</v>
      </c>
      <c r="N402" t="n">
        <v>0.11716</v>
      </c>
      <c r="O402" t="n">
        <v>0.070632</v>
      </c>
      <c r="P402" t="n">
        <v>0.071364</v>
      </c>
      <c r="Q402" t="n">
        <v>0.06573900000000001</v>
      </c>
      <c r="R402" t="n">
        <v>0.062683</v>
      </c>
      <c r="S402" t="n">
        <v>0.09369</v>
      </c>
      <c r="T402" t="n">
        <v>0.06619999999999999</v>
      </c>
      <c r="U402" t="n">
        <v>0.08376699999999999</v>
      </c>
      <c r="V402" t="n">
        <v>0.105532</v>
      </c>
      <c r="W402" t="n">
        <v>0.115538</v>
      </c>
      <c r="X402" t="n">
        <v>0.009438999999999999</v>
      </c>
      <c r="Y402" t="n">
        <v>0.008913000000000001</v>
      </c>
      <c r="Z402" t="n">
        <v>0.007168</v>
      </c>
      <c r="AA402" t="n">
        <v>0.004466</v>
      </c>
      <c r="AB402" t="n">
        <v>0.004366</v>
      </c>
      <c r="AC402" t="n">
        <v>0.004156</v>
      </c>
      <c r="AD402" t="n">
        <v>0.003835</v>
      </c>
      <c r="AE402" t="n">
        <v>0.005732</v>
      </c>
      <c r="AF402" t="n">
        <v>0.004186</v>
      </c>
      <c r="AG402" t="n">
        <v>0.005125</v>
      </c>
      <c r="AH402" t="n">
        <v>0.006672</v>
      </c>
      <c r="AI402" t="n">
        <v>0.007069</v>
      </c>
    </row>
    <row r="403">
      <c r="A403" t="n">
        <v>92</v>
      </c>
      <c r="B403" s="13" t="n">
        <v>44927</v>
      </c>
      <c r="C403" s="13" t="n">
        <v>45291</v>
      </c>
      <c r="D403" s="13" t="n">
        <v>44927</v>
      </c>
      <c r="E403" t="n">
        <v>0</v>
      </c>
      <c r="F403" s="13" t="n">
        <v>45291</v>
      </c>
      <c r="G403" t="n">
        <v>0.79718</v>
      </c>
      <c r="H403" t="n">
        <v>0.444984</v>
      </c>
      <c r="I403" t="n">
        <v>0.208965</v>
      </c>
      <c r="J403" t="n">
        <v>0.200853</v>
      </c>
      <c r="K403" t="n">
        <v>0.340662</v>
      </c>
      <c r="L403" t="n">
        <v>0.158746</v>
      </c>
      <c r="M403" t="n">
        <v>0.135403</v>
      </c>
      <c r="N403" t="n">
        <v>0.120557</v>
      </c>
      <c r="O403" t="n">
        <v>0.07267999999999999</v>
      </c>
      <c r="P403" t="n">
        <v>0.073434</v>
      </c>
      <c r="Q403" t="n">
        <v>0.067644</v>
      </c>
      <c r="R403" t="n">
        <v>0.0645</v>
      </c>
      <c r="S403" t="n">
        <v>0.09640600000000001</v>
      </c>
      <c r="T403" t="n">
        <v>0.06812</v>
      </c>
      <c r="U403" t="n">
        <v>0.08619599999999999</v>
      </c>
      <c r="V403" t="n">
        <v>0.108592</v>
      </c>
      <c r="W403" t="n">
        <v>0.118888</v>
      </c>
      <c r="X403" t="n">
        <v>0.009712</v>
      </c>
      <c r="Y403" t="n">
        <v>0.009171</v>
      </c>
      <c r="Z403" t="n">
        <v>0.007376</v>
      </c>
      <c r="AA403" t="n">
        <v>0.004595</v>
      </c>
      <c r="AB403" t="n">
        <v>0.004493</v>
      </c>
      <c r="AC403" t="n">
        <v>0.004276</v>
      </c>
      <c r="AD403" t="n">
        <v>0.003946</v>
      </c>
      <c r="AE403" t="n">
        <v>0.005898</v>
      </c>
      <c r="AF403" t="n">
        <v>0.004306</v>
      </c>
      <c r="AG403" t="n">
        <v>0.005273</v>
      </c>
      <c r="AH403" t="n">
        <v>0.006865</v>
      </c>
      <c r="AI403" t="n">
        <v>0.007273</v>
      </c>
    </row>
    <row r="404">
      <c r="A404" t="n">
        <v>92</v>
      </c>
      <c r="B404" s="13" t="n">
        <v>45292</v>
      </c>
      <c r="C404" s="13" t="n">
        <v>45657</v>
      </c>
      <c r="D404" s="13" t="n">
        <v>45292</v>
      </c>
      <c r="E404" t="n">
        <v>0</v>
      </c>
      <c r="F404" s="13" t="n">
        <v>45657</v>
      </c>
      <c r="G404" t="n">
        <v>0.820298</v>
      </c>
      <c r="H404" t="n">
        <v>0.336361</v>
      </c>
      <c r="I404" t="n">
        <v>0.224145</v>
      </c>
      <c r="J404" t="n">
        <v>0.200917</v>
      </c>
      <c r="K404" t="n">
        <v>0.355068</v>
      </c>
      <c r="L404" t="n">
        <v>0.109106</v>
      </c>
      <c r="M404" t="n">
        <v>0.11102</v>
      </c>
      <c r="N404" t="n">
        <v>0.118173</v>
      </c>
      <c r="O404" t="n">
        <v>0.08823300000000001</v>
      </c>
      <c r="P404" t="n">
        <v>0.074752</v>
      </c>
      <c r="Q404" t="n">
        <v>0.067564</v>
      </c>
      <c r="R404" t="n">
        <v>0.068103</v>
      </c>
      <c r="S404" t="n">
        <v>0.06880799999999999</v>
      </c>
      <c r="T404" t="n">
        <v>0.078191</v>
      </c>
      <c r="U404" t="n">
        <v>0.109005</v>
      </c>
      <c r="V404" t="n">
        <v>0.144194</v>
      </c>
      <c r="W404" t="n">
        <v>0.169956</v>
      </c>
      <c r="X404" t="n">
        <v>0.006675</v>
      </c>
      <c r="Y404" t="n">
        <v>0.007261</v>
      </c>
      <c r="Z404" t="n">
        <v>0.00723</v>
      </c>
      <c r="AA404" t="n">
        <v>0.005578</v>
      </c>
      <c r="AB404" t="n">
        <v>0.004573</v>
      </c>
      <c r="AC404" t="n">
        <v>0.004271</v>
      </c>
      <c r="AD404" t="n">
        <v>0.004166</v>
      </c>
      <c r="AE404" t="n">
        <v>0.00421</v>
      </c>
      <c r="AF404" t="n">
        <v>0.004943</v>
      </c>
      <c r="AG404" t="n">
        <v>0.006669</v>
      </c>
      <c r="AH404" t="n">
        <v>0.009116000000000001</v>
      </c>
      <c r="AI404" t="n">
        <v>0.010398</v>
      </c>
    </row>
    <row r="405">
      <c r="A405" t="n">
        <v>92</v>
      </c>
      <c r="B405" s="13" t="n">
        <v>45658</v>
      </c>
      <c r="C405" s="13" t="n">
        <v>46022</v>
      </c>
      <c r="D405" s="13" t="n">
        <v>45658</v>
      </c>
      <c r="E405" t="n">
        <v>0</v>
      </c>
      <c r="F405" s="13" t="n">
        <v>46022</v>
      </c>
      <c r="G405" t="n">
        <v>3.37968</v>
      </c>
      <c r="H405" t="n">
        <v>1.480522</v>
      </c>
      <c r="I405" t="n">
        <v>0.926023</v>
      </c>
      <c r="J405" t="n">
        <v>0.799049</v>
      </c>
      <c r="K405" t="n">
        <v>1.466911</v>
      </c>
      <c r="L405" t="n">
        <v>0.594348</v>
      </c>
      <c r="M405" t="n">
        <v>0.483072</v>
      </c>
      <c r="N405" t="n">
        <v>0.52817</v>
      </c>
      <c r="O405" t="n">
        <v>0.426145</v>
      </c>
      <c r="P405" t="n">
        <v>0.320898</v>
      </c>
      <c r="Q405" t="n">
        <v>0.257379</v>
      </c>
      <c r="R405" t="n">
        <v>0.255137</v>
      </c>
      <c r="S405" t="n">
        <v>0.23724</v>
      </c>
      <c r="T405" t="n">
        <v>0.27349</v>
      </c>
      <c r="U405" t="n">
        <v>0.409551</v>
      </c>
      <c r="V405" t="n">
        <v>0.5659110000000001</v>
      </c>
      <c r="W405" t="n">
        <v>0.640131</v>
      </c>
      <c r="X405" t="n">
        <v>0.036362</v>
      </c>
      <c r="Y405" t="n">
        <v>0.03272</v>
      </c>
      <c r="Z405" t="n">
        <v>0.032313</v>
      </c>
      <c r="AA405" t="n">
        <v>0.02694</v>
      </c>
      <c r="AB405" t="n">
        <v>0.019632</v>
      </c>
      <c r="AC405" t="n">
        <v>0.016271</v>
      </c>
      <c r="AD405" t="n">
        <v>0.015609</v>
      </c>
      <c r="AE405" t="n">
        <v>0.014514</v>
      </c>
      <c r="AF405" t="n">
        <v>0.01729</v>
      </c>
      <c r="AG405" t="n">
        <v>0.025056</v>
      </c>
      <c r="AH405" t="n">
        <v>0.035776</v>
      </c>
      <c r="AI405" t="n">
        <v>0.039163</v>
      </c>
    </row>
    <row r="406">
      <c r="A406" t="n">
        <v>92</v>
      </c>
      <c r="B406" s="13" t="n">
        <v>46023</v>
      </c>
      <c r="C406" s="13" t="n">
        <v>46387</v>
      </c>
      <c r="D406" s="13" t="n">
        <v>46023</v>
      </c>
      <c r="E406" t="n">
        <v>0</v>
      </c>
      <c r="F406" s="13" t="n">
        <v>46387</v>
      </c>
      <c r="G406" t="n">
        <v>3.454032</v>
      </c>
      <c r="H406" t="n">
        <v>1.51309313</v>
      </c>
      <c r="I406" t="n">
        <v>0.9463953000000001</v>
      </c>
      <c r="J406" t="n">
        <v>0.8166278</v>
      </c>
      <c r="K406" t="n">
        <v>1.49918237</v>
      </c>
      <c r="L406" t="n">
        <v>0.7167424</v>
      </c>
      <c r="M406" t="n">
        <v>0.521362</v>
      </c>
      <c r="N406" t="n">
        <v>0.49810406</v>
      </c>
      <c r="O406" t="n">
        <v>0.40958669</v>
      </c>
      <c r="P406" t="n">
        <v>0.28542086</v>
      </c>
      <c r="Q406" t="n">
        <v>0.25686642</v>
      </c>
      <c r="R406" t="n">
        <v>0.25607058</v>
      </c>
      <c r="S406" t="n">
        <v>0.23990665</v>
      </c>
      <c r="T406" t="n">
        <v>0.29267953</v>
      </c>
      <c r="U406" t="n">
        <v>0.3254053</v>
      </c>
      <c r="V406" t="n">
        <v>0.59235702</v>
      </c>
      <c r="W406" t="n">
        <v>0.74311511</v>
      </c>
      <c r="X406" t="n">
        <v>0.04384965</v>
      </c>
      <c r="Y406" t="n">
        <v>0.03531393</v>
      </c>
      <c r="Z406" t="n">
        <v>0.03047355</v>
      </c>
      <c r="AA406" t="n">
        <v>0.02589341</v>
      </c>
      <c r="AB406" t="n">
        <v>0.01746179</v>
      </c>
      <c r="AC406" t="n">
        <v>0.01623868</v>
      </c>
      <c r="AD406" t="n">
        <v>0.01566616</v>
      </c>
      <c r="AE406" t="n">
        <v>0.01467727</v>
      </c>
      <c r="AF406" t="n">
        <v>0.01850273</v>
      </c>
      <c r="AG406" t="n">
        <v>0.019908</v>
      </c>
      <c r="AH406" t="n">
        <v>0.03744786</v>
      </c>
      <c r="AI406" t="n">
        <v>0.0454631</v>
      </c>
    </row>
    <row r="407">
      <c r="A407" t="n">
        <v>92</v>
      </c>
      <c r="B407" s="13" t="n">
        <v>46388</v>
      </c>
      <c r="C407" s="13" t="n">
        <v>2958465</v>
      </c>
      <c r="D407" s="13" t="n">
        <v>46388</v>
      </c>
      <c r="E407" t="n">
        <v>1</v>
      </c>
      <c r="G407" t="n">
        <v>3.5300208</v>
      </c>
      <c r="H407" t="n">
        <v>1.54638122</v>
      </c>
      <c r="I407" t="n">
        <v>0.96721603</v>
      </c>
      <c r="J407" t="n">
        <v>0.83459363</v>
      </c>
      <c r="K407" t="n">
        <v>1.53216443</v>
      </c>
      <c r="L407" t="n">
        <v>0.73251075</v>
      </c>
      <c r="M407" t="n">
        <v>0.53283198</v>
      </c>
      <c r="N407" t="n">
        <v>0.50906237</v>
      </c>
      <c r="O407" t="n">
        <v>0.4185976</v>
      </c>
      <c r="P407" t="n">
        <v>0.29170013</v>
      </c>
      <c r="Q407" t="n">
        <v>0.26251749</v>
      </c>
      <c r="R407" t="n">
        <v>0.26170414</v>
      </c>
      <c r="S407" t="n">
        <v>0.24518461</v>
      </c>
      <c r="T407" t="n">
        <v>0.29911849</v>
      </c>
      <c r="U407" t="n">
        <v>0.33256423</v>
      </c>
      <c r="V407" t="n">
        <v>0.6053889</v>
      </c>
      <c r="W407" t="n">
        <v>0.75946367</v>
      </c>
      <c r="X407" t="n">
        <v>0.04481434</v>
      </c>
      <c r="Y407" t="n">
        <v>0.03609084</v>
      </c>
      <c r="Z407" t="n">
        <v>0.03114397</v>
      </c>
      <c r="AA407" t="n">
        <v>0.02646307</v>
      </c>
      <c r="AB407" t="n">
        <v>0.01784595</v>
      </c>
      <c r="AC407" t="n">
        <v>0.01659593</v>
      </c>
      <c r="AD407" t="n">
        <v>0.01601082</v>
      </c>
      <c r="AE407" t="n">
        <v>0.01500017</v>
      </c>
      <c r="AF407" t="n">
        <v>0.01890979</v>
      </c>
      <c r="AG407" t="n">
        <v>0.02034598</v>
      </c>
      <c r="AH407" t="n">
        <v>0.03827171</v>
      </c>
      <c r="AI407" t="n">
        <v>0.04646329</v>
      </c>
    </row>
    <row r="408">
      <c r="A408" t="n">
        <v>93</v>
      </c>
      <c r="B408" s="13" t="n">
        <v>44562</v>
      </c>
      <c r="C408" s="13" t="n">
        <v>44926</v>
      </c>
      <c r="D408" s="13" t="n">
        <v>44562</v>
      </c>
      <c r="E408" t="n">
        <v>0</v>
      </c>
      <c r="F408" s="13" t="n">
        <v>44926</v>
      </c>
      <c r="G408" t="n">
        <v>3.144</v>
      </c>
      <c r="H408" t="n">
        <v>0.93</v>
      </c>
      <c r="I408" t="n">
        <v>0.9409999999999999</v>
      </c>
      <c r="J408" t="n">
        <v>0.951</v>
      </c>
      <c r="K408" t="n">
        <v>0.951</v>
      </c>
      <c r="L408" t="n">
        <v>0.347</v>
      </c>
      <c r="M408" t="n">
        <v>0.314</v>
      </c>
      <c r="N408" t="n">
        <v>0.347</v>
      </c>
      <c r="O408" t="n">
        <v>0.336</v>
      </c>
      <c r="P408" t="n">
        <v>0.347</v>
      </c>
      <c r="Q408" t="n">
        <v>0.336</v>
      </c>
      <c r="R408" t="n">
        <v>0.347</v>
      </c>
      <c r="S408" t="n">
        <v>0.347</v>
      </c>
      <c r="T408" t="n">
        <v>0.336</v>
      </c>
      <c r="U408" t="n">
        <v>0.347</v>
      </c>
      <c r="V408" t="n">
        <v>0.336</v>
      </c>
      <c r="W408" t="n">
        <v>0.347</v>
      </c>
      <c r="X408" t="n">
        <v>0.013</v>
      </c>
      <c r="Y408" t="n">
        <v>0.013</v>
      </c>
      <c r="Z408" t="n">
        <v>0.013</v>
      </c>
      <c r="AA408" t="n">
        <v>0.013</v>
      </c>
      <c r="AB408" t="n">
        <v>0.013</v>
      </c>
      <c r="AC408" t="n">
        <v>0.013</v>
      </c>
      <c r="AD408" t="n">
        <v>0.013</v>
      </c>
      <c r="AE408" t="n">
        <v>0.013</v>
      </c>
      <c r="AF408" t="n">
        <v>0.013</v>
      </c>
      <c r="AG408" t="n">
        <v>0.013</v>
      </c>
      <c r="AH408" t="n">
        <v>0.013</v>
      </c>
      <c r="AI408" t="n">
        <v>0.013</v>
      </c>
    </row>
    <row r="409">
      <c r="A409" t="n">
        <v>93</v>
      </c>
      <c r="B409" s="13" t="n">
        <v>44927</v>
      </c>
      <c r="C409" s="13" t="n">
        <v>45291</v>
      </c>
      <c r="D409" s="13" t="n">
        <v>44927</v>
      </c>
      <c r="E409" t="n">
        <v>0</v>
      </c>
      <c r="F409" s="13" t="n">
        <v>45291</v>
      </c>
      <c r="G409" t="n">
        <v>2.766</v>
      </c>
      <c r="H409" t="n">
        <v>0.8179999999999999</v>
      </c>
      <c r="I409" t="n">
        <v>0.827</v>
      </c>
      <c r="J409" t="n">
        <v>0.836</v>
      </c>
      <c r="K409" t="n">
        <v>0.836</v>
      </c>
      <c r="L409" t="n">
        <v>0.305</v>
      </c>
      <c r="M409" t="n">
        <v>0.276</v>
      </c>
      <c r="N409" t="n">
        <v>0.305</v>
      </c>
      <c r="O409" t="n">
        <v>0.295</v>
      </c>
      <c r="P409" t="n">
        <v>0.305</v>
      </c>
      <c r="Q409" t="n">
        <v>0.295</v>
      </c>
      <c r="R409" t="n">
        <v>0.305</v>
      </c>
      <c r="S409" t="n">
        <v>0.305</v>
      </c>
      <c r="T409" t="n">
        <v>0.295</v>
      </c>
      <c r="U409" t="n">
        <v>0.305</v>
      </c>
      <c r="V409" t="n">
        <v>0.295</v>
      </c>
      <c r="W409" t="n">
        <v>0.305</v>
      </c>
      <c r="X409" t="n">
        <v>0.011</v>
      </c>
      <c r="Y409" t="n">
        <v>0.011</v>
      </c>
      <c r="Z409" t="n">
        <v>0.011</v>
      </c>
      <c r="AA409" t="n">
        <v>0.011</v>
      </c>
      <c r="AB409" t="n">
        <v>0.011</v>
      </c>
      <c r="AC409" t="n">
        <v>0.011</v>
      </c>
      <c r="AD409" t="n">
        <v>0.011</v>
      </c>
      <c r="AE409" t="n">
        <v>0.011</v>
      </c>
      <c r="AF409" t="n">
        <v>0.011</v>
      </c>
      <c r="AG409" t="n">
        <v>0.011</v>
      </c>
      <c r="AH409" t="n">
        <v>0.011</v>
      </c>
      <c r="AI409" t="n">
        <v>0.011</v>
      </c>
    </row>
    <row r="410">
      <c r="A410" t="n">
        <v>93</v>
      </c>
      <c r="B410" s="13" t="n">
        <v>45292</v>
      </c>
      <c r="C410" s="13" t="n">
        <v>45657</v>
      </c>
      <c r="D410" s="13" t="n">
        <v>45292</v>
      </c>
      <c r="E410" t="n">
        <v>0</v>
      </c>
      <c r="F410" s="13" t="n">
        <v>45657</v>
      </c>
      <c r="G410" t="n">
        <v>2.548902</v>
      </c>
      <c r="H410" t="n">
        <v>0.7604919999999999</v>
      </c>
      <c r="I410" t="n">
        <v>0.7604919999999999</v>
      </c>
      <c r="J410" t="n">
        <v>0.768849</v>
      </c>
      <c r="K410" t="n">
        <v>0.768849</v>
      </c>
      <c r="L410" t="n">
        <v>0.280658</v>
      </c>
      <c r="M410" t="n">
        <v>0.262551</v>
      </c>
      <c r="N410" t="n">
        <v>0.280658</v>
      </c>
      <c r="O410" t="n">
        <v>0.271604</v>
      </c>
      <c r="P410" t="n">
        <v>0.280658</v>
      </c>
      <c r="Q410" t="n">
        <v>0.271604</v>
      </c>
      <c r="R410" t="n">
        <v>0.280658</v>
      </c>
      <c r="S410" t="n">
        <v>0.280658</v>
      </c>
      <c r="T410" t="n">
        <v>0.271604</v>
      </c>
      <c r="U410" t="n">
        <v>0.280658</v>
      </c>
      <c r="V410" t="n">
        <v>0.271604</v>
      </c>
      <c r="W410" t="n">
        <v>0.280658</v>
      </c>
      <c r="X410" t="n">
        <v>0.010446</v>
      </c>
      <c r="Y410" t="n">
        <v>0.010446</v>
      </c>
      <c r="Z410" t="n">
        <v>0.010446</v>
      </c>
      <c r="AA410" t="n">
        <v>0.010446</v>
      </c>
      <c r="AB410" t="n">
        <v>0.010446</v>
      </c>
      <c r="AC410" t="n">
        <v>0.010446</v>
      </c>
      <c r="AD410" t="n">
        <v>0.010446</v>
      </c>
      <c r="AE410" t="n">
        <v>0.010446</v>
      </c>
      <c r="AF410" t="n">
        <v>0.010446</v>
      </c>
      <c r="AG410" t="n">
        <v>0.010446</v>
      </c>
      <c r="AH410" t="n">
        <v>0.010446</v>
      </c>
      <c r="AI410" t="n">
        <v>0.010446</v>
      </c>
    </row>
    <row r="411">
      <c r="A411" t="n">
        <v>93</v>
      </c>
      <c r="B411" s="13" t="n">
        <v>45658</v>
      </c>
      <c r="C411" s="13" t="n">
        <v>46022</v>
      </c>
      <c r="D411" s="13" t="n">
        <v>45658</v>
      </c>
      <c r="E411" t="n">
        <v>0</v>
      </c>
      <c r="F411" s="13" t="n">
        <v>46022</v>
      </c>
      <c r="G411" t="n">
        <v>3.1903113</v>
      </c>
      <c r="H411" t="n">
        <v>0.9439824999999999</v>
      </c>
      <c r="I411" t="n">
        <v>0.9544712</v>
      </c>
      <c r="J411" t="n">
        <v>0.9649599</v>
      </c>
      <c r="K411" t="n">
        <v>0.9649599</v>
      </c>
      <c r="L411" t="n">
        <v>0.3522453</v>
      </c>
      <c r="M411" t="n">
        <v>0.3181571</v>
      </c>
      <c r="N411" t="n">
        <v>0.3522453</v>
      </c>
      <c r="O411" t="n">
        <v>0.3408826</v>
      </c>
      <c r="P411" t="n">
        <v>0.3522453</v>
      </c>
      <c r="Q411" t="n">
        <v>0.3408826</v>
      </c>
      <c r="R411" t="n">
        <v>0.3522453</v>
      </c>
      <c r="S411" t="n">
        <v>0.3522453</v>
      </c>
      <c r="T411" t="n">
        <v>0.3408826</v>
      </c>
      <c r="U411" t="n">
        <v>0.3522453</v>
      </c>
      <c r="V411" t="n">
        <v>0.3408826</v>
      </c>
      <c r="W411" t="n">
        <v>0.3522453</v>
      </c>
      <c r="X411" t="n">
        <v>0.0131109</v>
      </c>
      <c r="Y411" t="n">
        <v>0.0131109</v>
      </c>
      <c r="Z411" t="n">
        <v>0.0131109</v>
      </c>
      <c r="AA411" t="n">
        <v>0.0131109</v>
      </c>
      <c r="AB411" t="n">
        <v>0.0131109</v>
      </c>
      <c r="AC411" t="n">
        <v>0.0131109</v>
      </c>
      <c r="AD411" t="n">
        <v>0.0131109</v>
      </c>
      <c r="AE411" t="n">
        <v>0.0131109</v>
      </c>
      <c r="AF411" t="n">
        <v>0.0131109</v>
      </c>
      <c r="AG411" t="n">
        <v>0.0131109</v>
      </c>
      <c r="AH411" t="n">
        <v>0.0131109</v>
      </c>
      <c r="AI411" t="n">
        <v>0.0131109</v>
      </c>
    </row>
    <row r="412">
      <c r="A412" t="n">
        <v>93</v>
      </c>
      <c r="B412" s="13" t="n">
        <v>46023</v>
      </c>
      <c r="C412" s="13" t="n">
        <v>2958465</v>
      </c>
      <c r="D412" s="13" t="n">
        <v>46023</v>
      </c>
      <c r="E412" t="n">
        <v>1</v>
      </c>
      <c r="G412" t="n">
        <v>3.35449508</v>
      </c>
      <c r="H412" t="n">
        <v>0.99256293</v>
      </c>
      <c r="I412" t="n">
        <v>1.0035914</v>
      </c>
      <c r="J412" t="n">
        <v>1.01461988</v>
      </c>
      <c r="K412" t="n">
        <v>1.01461988</v>
      </c>
      <c r="L412" t="n">
        <v>0.37037302</v>
      </c>
      <c r="M412" t="n">
        <v>0.33453047</v>
      </c>
      <c r="N412" t="n">
        <v>0.37037302</v>
      </c>
      <c r="O412" t="n">
        <v>0.3584255</v>
      </c>
      <c r="P412" t="n">
        <v>0.37037302</v>
      </c>
      <c r="Q412" t="n">
        <v>0.3584255</v>
      </c>
      <c r="R412" t="n">
        <v>0.37037302</v>
      </c>
      <c r="S412" t="n">
        <v>0.37037302</v>
      </c>
      <c r="T412" t="n">
        <v>0.3584255</v>
      </c>
      <c r="U412" t="n">
        <v>0.37037302</v>
      </c>
      <c r="V412" t="n">
        <v>0.3584255</v>
      </c>
      <c r="W412" t="n">
        <v>0.37037302</v>
      </c>
      <c r="X412" t="n">
        <v>0.0137856</v>
      </c>
      <c r="Y412" t="n">
        <v>0.0137856</v>
      </c>
      <c r="Z412" t="n">
        <v>0.0137856</v>
      </c>
      <c r="AA412" t="n">
        <v>0.0137856</v>
      </c>
      <c r="AB412" t="n">
        <v>0.0137856</v>
      </c>
      <c r="AC412" t="n">
        <v>0.0137856</v>
      </c>
      <c r="AD412" t="n">
        <v>0.0137856</v>
      </c>
      <c r="AE412" t="n">
        <v>0.0137856</v>
      </c>
      <c r="AF412" t="n">
        <v>0.0137856</v>
      </c>
      <c r="AG412" t="n">
        <v>0.0137856</v>
      </c>
      <c r="AH412" t="n">
        <v>0.0137856</v>
      </c>
      <c r="AI412" t="n">
        <v>0.0137856</v>
      </c>
    </row>
    <row r="413">
      <c r="A413" t="n">
        <v>94</v>
      </c>
      <c r="B413" s="13" t="n">
        <v>44562</v>
      </c>
      <c r="C413" s="13" t="n">
        <v>44926</v>
      </c>
      <c r="D413" s="13" t="n">
        <v>44562</v>
      </c>
      <c r="E413" t="n">
        <v>0</v>
      </c>
      <c r="F413" s="13" t="n">
        <v>44926</v>
      </c>
      <c r="G413" t="n">
        <v>7.965</v>
      </c>
      <c r="H413" t="n">
        <v>2.357</v>
      </c>
      <c r="I413" t="n">
        <v>2.383</v>
      </c>
      <c r="J413" t="n">
        <v>2.409</v>
      </c>
      <c r="K413" t="n">
        <v>2.409</v>
      </c>
      <c r="L413" t="n">
        <v>0.879</v>
      </c>
      <c r="M413" t="n">
        <v>0.794</v>
      </c>
      <c r="N413" t="n">
        <v>0.879</v>
      </c>
      <c r="O413" t="n">
        <v>0.851</v>
      </c>
      <c r="P413" t="n">
        <v>0.879</v>
      </c>
      <c r="Q413" t="n">
        <v>0.851</v>
      </c>
      <c r="R413" t="n">
        <v>0.879</v>
      </c>
      <c r="S413" t="n">
        <v>0.879</v>
      </c>
      <c r="T413" t="n">
        <v>0.851</v>
      </c>
      <c r="U413" t="n">
        <v>0.879</v>
      </c>
      <c r="V413" t="n">
        <v>0.851</v>
      </c>
      <c r="W413" t="n">
        <v>0.879</v>
      </c>
      <c r="X413" t="n">
        <v>0.033</v>
      </c>
      <c r="Y413" t="n">
        <v>0.033</v>
      </c>
      <c r="Z413" t="n">
        <v>0.033</v>
      </c>
      <c r="AA413" t="n">
        <v>0.033</v>
      </c>
      <c r="AB413" t="n">
        <v>0.033</v>
      </c>
      <c r="AC413" t="n">
        <v>0.033</v>
      </c>
      <c r="AD413" t="n">
        <v>0.033</v>
      </c>
      <c r="AE413" t="n">
        <v>0.033</v>
      </c>
      <c r="AF413" t="n">
        <v>0.033</v>
      </c>
      <c r="AG413" t="n">
        <v>0.033</v>
      </c>
      <c r="AH413" t="n">
        <v>0.033</v>
      </c>
      <c r="AI413" t="n">
        <v>0.033</v>
      </c>
    </row>
    <row r="414">
      <c r="A414" t="n">
        <v>94</v>
      </c>
      <c r="B414" s="13" t="n">
        <v>44927</v>
      </c>
      <c r="C414" s="13" t="n">
        <v>45291</v>
      </c>
      <c r="D414" s="13" t="n">
        <v>44927</v>
      </c>
      <c r="E414" t="n">
        <v>0</v>
      </c>
      <c r="F414" s="13" t="n">
        <v>45291</v>
      </c>
      <c r="G414" t="n">
        <v>6.951</v>
      </c>
      <c r="H414" t="n">
        <v>2.057</v>
      </c>
      <c r="I414" t="n">
        <v>2.08</v>
      </c>
      <c r="J414" t="n">
        <v>2.102</v>
      </c>
      <c r="K414" t="n">
        <v>2.102</v>
      </c>
      <c r="L414" t="n">
        <v>0.767</v>
      </c>
      <c r="M414" t="n">
        <v>0.6929999999999999</v>
      </c>
      <c r="N414" t="n">
        <v>0.767</v>
      </c>
      <c r="O414" t="n">
        <v>0.743</v>
      </c>
      <c r="P414" t="n">
        <v>0.767</v>
      </c>
      <c r="Q414" t="n">
        <v>0.743</v>
      </c>
      <c r="R414" t="n">
        <v>0.767</v>
      </c>
      <c r="S414" t="n">
        <v>0.767</v>
      </c>
      <c r="T414" t="n">
        <v>0.743</v>
      </c>
      <c r="U414" t="n">
        <v>0.767</v>
      </c>
      <c r="V414" t="n">
        <v>0.743</v>
      </c>
      <c r="W414" t="n">
        <v>0.767</v>
      </c>
      <c r="X414" t="n">
        <v>0.029</v>
      </c>
      <c r="Y414" t="n">
        <v>0.029</v>
      </c>
      <c r="Z414" t="n">
        <v>0.029</v>
      </c>
      <c r="AA414" t="n">
        <v>0.029</v>
      </c>
      <c r="AB414" t="n">
        <v>0.029</v>
      </c>
      <c r="AC414" t="n">
        <v>0.029</v>
      </c>
      <c r="AD414" t="n">
        <v>0.029</v>
      </c>
      <c r="AE414" t="n">
        <v>0.029</v>
      </c>
      <c r="AF414" t="n">
        <v>0.029</v>
      </c>
      <c r="AG414" t="n">
        <v>0.029</v>
      </c>
      <c r="AH414" t="n">
        <v>0.029</v>
      </c>
      <c r="AI414" t="n">
        <v>0.029</v>
      </c>
    </row>
    <row r="415">
      <c r="A415" t="n">
        <v>94</v>
      </c>
      <c r="B415" s="13" t="n">
        <v>45292</v>
      </c>
      <c r="C415" s="13" t="n">
        <v>45657</v>
      </c>
      <c r="D415" s="13" t="n">
        <v>45292</v>
      </c>
      <c r="E415" t="n">
        <v>0</v>
      </c>
      <c r="F415" s="13" t="n">
        <v>45657</v>
      </c>
      <c r="G415" t="n">
        <v>6.493046</v>
      </c>
      <c r="H415" t="n">
        <v>1.93727</v>
      </c>
      <c r="I415" t="n">
        <v>1.93727</v>
      </c>
      <c r="J415" t="n">
        <v>1.958558</v>
      </c>
      <c r="K415" t="n">
        <v>1.958558</v>
      </c>
      <c r="L415" t="n">
        <v>0.7149450000000001</v>
      </c>
      <c r="M415" t="n">
        <v>0.6688190000000001</v>
      </c>
      <c r="N415" t="n">
        <v>0.7149450000000001</v>
      </c>
      <c r="O415" t="n">
        <v>0.691882</v>
      </c>
      <c r="P415" t="n">
        <v>0.7149450000000001</v>
      </c>
      <c r="Q415" t="n">
        <v>0.691882</v>
      </c>
      <c r="R415" t="n">
        <v>0.7149450000000001</v>
      </c>
      <c r="S415" t="n">
        <v>0.7149450000000001</v>
      </c>
      <c r="T415" t="n">
        <v>0.691882</v>
      </c>
      <c r="U415" t="n">
        <v>0.7149450000000001</v>
      </c>
      <c r="V415" t="n">
        <v>0.691882</v>
      </c>
      <c r="W415" t="n">
        <v>0.7149450000000001</v>
      </c>
      <c r="X415" t="n">
        <v>0.026611</v>
      </c>
      <c r="Y415" t="n">
        <v>0.026611</v>
      </c>
      <c r="Z415" t="n">
        <v>0.026611</v>
      </c>
      <c r="AA415" t="n">
        <v>0.026611</v>
      </c>
      <c r="AB415" t="n">
        <v>0.026611</v>
      </c>
      <c r="AC415" t="n">
        <v>0.026611</v>
      </c>
      <c r="AD415" t="n">
        <v>0.026611</v>
      </c>
      <c r="AE415" t="n">
        <v>0.026611</v>
      </c>
      <c r="AF415" t="n">
        <v>0.026611</v>
      </c>
      <c r="AG415" t="n">
        <v>0.026611</v>
      </c>
      <c r="AH415" t="n">
        <v>0.026611</v>
      </c>
      <c r="AI415" t="n">
        <v>0.026611</v>
      </c>
    </row>
    <row r="416">
      <c r="A416" t="n">
        <v>94</v>
      </c>
      <c r="B416" s="13" t="n">
        <v>45658</v>
      </c>
      <c r="C416" s="13" t="n">
        <v>46022</v>
      </c>
      <c r="D416" s="13" t="n">
        <v>45658</v>
      </c>
      <c r="E416" t="n">
        <v>0</v>
      </c>
      <c r="F416" s="13" t="n">
        <v>46022</v>
      </c>
      <c r="G416" t="n">
        <v>8.020137999999999</v>
      </c>
      <c r="H416" t="n">
        <v>2.3730819</v>
      </c>
      <c r="I416" t="n">
        <v>2.3994495</v>
      </c>
      <c r="J416" t="n">
        <v>2.4258171</v>
      </c>
      <c r="K416" t="n">
        <v>2.4258171</v>
      </c>
      <c r="L416" t="n">
        <v>0.8855111</v>
      </c>
      <c r="M416" t="n">
        <v>0.7998165</v>
      </c>
      <c r="N416" t="n">
        <v>0.8855111</v>
      </c>
      <c r="O416" t="n">
        <v>0.8569463</v>
      </c>
      <c r="P416" t="n">
        <v>0.8855111</v>
      </c>
      <c r="Q416" t="n">
        <v>0.8569463</v>
      </c>
      <c r="R416" t="n">
        <v>0.8855111</v>
      </c>
      <c r="S416" t="n">
        <v>0.8855111</v>
      </c>
      <c r="T416" t="n">
        <v>0.8569463</v>
      </c>
      <c r="U416" t="n">
        <v>0.8855111</v>
      </c>
      <c r="V416" t="n">
        <v>0.8569463</v>
      </c>
      <c r="W416" t="n">
        <v>0.8855111</v>
      </c>
      <c r="X416" t="n">
        <v>0.0329595</v>
      </c>
      <c r="Y416" t="n">
        <v>0.0329595</v>
      </c>
      <c r="Z416" t="n">
        <v>0.0329595</v>
      </c>
      <c r="AA416" t="n">
        <v>0.0329595</v>
      </c>
      <c r="AB416" t="n">
        <v>0.0329595</v>
      </c>
      <c r="AC416" t="n">
        <v>0.0329595</v>
      </c>
      <c r="AD416" t="n">
        <v>0.0329595</v>
      </c>
      <c r="AE416" t="n">
        <v>0.0329595</v>
      </c>
      <c r="AF416" t="n">
        <v>0.0329595</v>
      </c>
      <c r="AG416" t="n">
        <v>0.0329595</v>
      </c>
      <c r="AH416" t="n">
        <v>0.0329595</v>
      </c>
      <c r="AI416" t="n">
        <v>0.0329595</v>
      </c>
    </row>
    <row r="417">
      <c r="A417" t="n">
        <v>94</v>
      </c>
      <c r="B417" s="13" t="n">
        <v>46023</v>
      </c>
      <c r="C417" s="13" t="n">
        <v>2958465</v>
      </c>
      <c r="D417" s="13" t="n">
        <v>46023</v>
      </c>
      <c r="E417" t="n">
        <v>1</v>
      </c>
      <c r="G417" t="n">
        <v>8.57863774</v>
      </c>
      <c r="H417" t="n">
        <v>2.53833665</v>
      </c>
      <c r="I417" t="n">
        <v>2.56654039</v>
      </c>
      <c r="J417" t="n">
        <v>2.59474413</v>
      </c>
      <c r="K417" t="n">
        <v>2.59474413</v>
      </c>
      <c r="L417" t="n">
        <v>0.94717562</v>
      </c>
      <c r="M417" t="n">
        <v>0.8555134599999999</v>
      </c>
      <c r="N417" t="n">
        <v>0.94717562</v>
      </c>
      <c r="O417" t="n">
        <v>0.91662157</v>
      </c>
      <c r="P417" t="n">
        <v>0.94717562</v>
      </c>
      <c r="Q417" t="n">
        <v>0.91662157</v>
      </c>
      <c r="R417" t="n">
        <v>0.94717562</v>
      </c>
      <c r="S417" t="n">
        <v>0.94717562</v>
      </c>
      <c r="T417" t="n">
        <v>0.91662157</v>
      </c>
      <c r="U417" t="n">
        <v>0.94717562</v>
      </c>
      <c r="V417" t="n">
        <v>0.91662157</v>
      </c>
      <c r="W417" t="n">
        <v>0.94717562</v>
      </c>
      <c r="X417" t="n">
        <v>0.03525468</v>
      </c>
      <c r="Y417" t="n">
        <v>0.03525468</v>
      </c>
      <c r="Z417" t="n">
        <v>0.03525468</v>
      </c>
      <c r="AA417" t="n">
        <v>0.03525468</v>
      </c>
      <c r="AB417" t="n">
        <v>0.03525468</v>
      </c>
      <c r="AC417" t="n">
        <v>0.03525468</v>
      </c>
      <c r="AD417" t="n">
        <v>0.03525468</v>
      </c>
      <c r="AE417" t="n">
        <v>0.03525468</v>
      </c>
      <c r="AF417" t="n">
        <v>0.03525468</v>
      </c>
      <c r="AG417" t="n">
        <v>0.03525468</v>
      </c>
      <c r="AH417" t="n">
        <v>0.03525468</v>
      </c>
      <c r="AI417" t="n">
        <v>0.03525468</v>
      </c>
    </row>
    <row r="418">
      <c r="A418" t="n">
        <v>95</v>
      </c>
      <c r="B418" s="13" t="n">
        <v>44562</v>
      </c>
      <c r="C418" s="13" t="n">
        <v>44926</v>
      </c>
      <c r="D418" s="13" t="n">
        <v>44562</v>
      </c>
      <c r="E418" t="n">
        <v>0</v>
      </c>
      <c r="F418" s="13" t="n">
        <v>44926</v>
      </c>
      <c r="G418" t="n">
        <v>3.335</v>
      </c>
      <c r="H418" t="n">
        <v>0.987</v>
      </c>
      <c r="I418" t="n">
        <v>0.998</v>
      </c>
      <c r="J418" t="n">
        <v>1.009</v>
      </c>
      <c r="K418" t="n">
        <v>1.009</v>
      </c>
      <c r="L418" t="n">
        <v>0.368</v>
      </c>
      <c r="M418" t="n">
        <v>0.333</v>
      </c>
      <c r="N418" t="n">
        <v>0.368</v>
      </c>
      <c r="O418" t="n">
        <v>0.356</v>
      </c>
      <c r="P418" t="n">
        <v>0.368</v>
      </c>
      <c r="Q418" t="n">
        <v>0.356</v>
      </c>
      <c r="R418" t="n">
        <v>0.368</v>
      </c>
      <c r="S418" t="n">
        <v>0.368</v>
      </c>
      <c r="T418" t="n">
        <v>0.356</v>
      </c>
      <c r="U418" t="n">
        <v>0.368</v>
      </c>
      <c r="V418" t="n">
        <v>0.356</v>
      </c>
      <c r="W418" t="n">
        <v>0.368</v>
      </c>
      <c r="X418" t="n">
        <v>0.014</v>
      </c>
      <c r="Y418" t="n">
        <v>0.014</v>
      </c>
      <c r="Z418" t="n">
        <v>0.014</v>
      </c>
      <c r="AA418" t="n">
        <v>0.014</v>
      </c>
      <c r="AB418" t="n">
        <v>0.014</v>
      </c>
      <c r="AC418" t="n">
        <v>0.014</v>
      </c>
      <c r="AD418" t="n">
        <v>0.014</v>
      </c>
      <c r="AE418" t="n">
        <v>0.014</v>
      </c>
      <c r="AF418" t="n">
        <v>0.014</v>
      </c>
      <c r="AG418" t="n">
        <v>0.014</v>
      </c>
      <c r="AH418" t="n">
        <v>0.014</v>
      </c>
      <c r="AI418" t="n">
        <v>0.014</v>
      </c>
    </row>
    <row r="419">
      <c r="A419" t="n">
        <v>95</v>
      </c>
      <c r="B419" s="13" t="n">
        <v>44927</v>
      </c>
      <c r="C419" s="13" t="n">
        <v>45291</v>
      </c>
      <c r="D419" s="13" t="n">
        <v>44927</v>
      </c>
      <c r="E419" t="n">
        <v>0</v>
      </c>
      <c r="F419" s="13" t="n">
        <v>45291</v>
      </c>
      <c r="G419" t="n">
        <v>2.941</v>
      </c>
      <c r="H419" t="n">
        <v>0.87</v>
      </c>
      <c r="I419" t="n">
        <v>0.88</v>
      </c>
      <c r="J419" t="n">
        <v>0.89</v>
      </c>
      <c r="K419" t="n">
        <v>0.89</v>
      </c>
      <c r="L419" t="n">
        <v>0.325</v>
      </c>
      <c r="M419" t="n">
        <v>0.293</v>
      </c>
      <c r="N419" t="n">
        <v>0.325</v>
      </c>
      <c r="O419" t="n">
        <v>0.314</v>
      </c>
      <c r="P419" t="n">
        <v>0.325</v>
      </c>
      <c r="Q419" t="n">
        <v>0.314</v>
      </c>
      <c r="R419" t="n">
        <v>0.325</v>
      </c>
      <c r="S419" t="n">
        <v>0.325</v>
      </c>
      <c r="T419" t="n">
        <v>0.314</v>
      </c>
      <c r="U419" t="n">
        <v>0.325</v>
      </c>
      <c r="V419" t="n">
        <v>0.314</v>
      </c>
      <c r="W419" t="n">
        <v>0.325</v>
      </c>
      <c r="X419" t="n">
        <v>0.012</v>
      </c>
      <c r="Y419" t="n">
        <v>0.012</v>
      </c>
      <c r="Z419" t="n">
        <v>0.012</v>
      </c>
      <c r="AA419" t="n">
        <v>0.012</v>
      </c>
      <c r="AB419" t="n">
        <v>0.012</v>
      </c>
      <c r="AC419" t="n">
        <v>0.012</v>
      </c>
      <c r="AD419" t="n">
        <v>0.012</v>
      </c>
      <c r="AE419" t="n">
        <v>0.012</v>
      </c>
      <c r="AF419" t="n">
        <v>0.012</v>
      </c>
      <c r="AG419" t="n">
        <v>0.012</v>
      </c>
      <c r="AH419" t="n">
        <v>0.012</v>
      </c>
      <c r="AI419" t="n">
        <v>0.012</v>
      </c>
    </row>
    <row r="420">
      <c r="A420" t="n">
        <v>95</v>
      </c>
      <c r="B420" s="13" t="n">
        <v>45292</v>
      </c>
      <c r="C420" s="13" t="n">
        <v>45657</v>
      </c>
      <c r="D420" s="13" t="n">
        <v>45292</v>
      </c>
      <c r="E420" t="n">
        <v>0</v>
      </c>
      <c r="F420" s="13" t="n">
        <v>45657</v>
      </c>
      <c r="G420" t="n">
        <v>2.751197</v>
      </c>
      <c r="H420" t="n">
        <v>0.8208490000000001</v>
      </c>
      <c r="I420" t="n">
        <v>0.8208490000000001</v>
      </c>
      <c r="J420" t="n">
        <v>0.829869</v>
      </c>
      <c r="K420" t="n">
        <v>0.829869</v>
      </c>
      <c r="L420" t="n">
        <v>0.302932</v>
      </c>
      <c r="M420" t="n">
        <v>0.283388</v>
      </c>
      <c r="N420" t="n">
        <v>0.302932</v>
      </c>
      <c r="O420" t="n">
        <v>0.29316</v>
      </c>
      <c r="P420" t="n">
        <v>0.302932</v>
      </c>
      <c r="Q420" t="n">
        <v>0.29316</v>
      </c>
      <c r="R420" t="n">
        <v>0.302932</v>
      </c>
      <c r="S420" t="n">
        <v>0.302932</v>
      </c>
      <c r="T420" t="n">
        <v>0.29316</v>
      </c>
      <c r="U420" t="n">
        <v>0.302932</v>
      </c>
      <c r="V420" t="n">
        <v>0.29316</v>
      </c>
      <c r="W420" t="n">
        <v>0.302932</v>
      </c>
      <c r="X420" t="n">
        <v>0.011275</v>
      </c>
      <c r="Y420" t="n">
        <v>0.011275</v>
      </c>
      <c r="Z420" t="n">
        <v>0.011275</v>
      </c>
      <c r="AA420" t="n">
        <v>0.011275</v>
      </c>
      <c r="AB420" t="n">
        <v>0.011275</v>
      </c>
      <c r="AC420" t="n">
        <v>0.011275</v>
      </c>
      <c r="AD420" t="n">
        <v>0.011275</v>
      </c>
      <c r="AE420" t="n">
        <v>0.011275</v>
      </c>
      <c r="AF420" t="n">
        <v>0.011275</v>
      </c>
      <c r="AG420" t="n">
        <v>0.011275</v>
      </c>
      <c r="AH420" t="n">
        <v>0.011275</v>
      </c>
      <c r="AI420" t="n">
        <v>0.011275</v>
      </c>
    </row>
    <row r="421">
      <c r="A421" t="n">
        <v>95</v>
      </c>
      <c r="B421" s="13" t="n">
        <v>45658</v>
      </c>
      <c r="C421" s="13" t="n">
        <v>46022</v>
      </c>
      <c r="D421" s="13" t="n">
        <v>45658</v>
      </c>
      <c r="E421" t="n">
        <v>0</v>
      </c>
      <c r="F421" s="13" t="n">
        <v>46022</v>
      </c>
      <c r="G421" t="n">
        <v>3.4338375</v>
      </c>
      <c r="H421" t="n">
        <v>1.0160396</v>
      </c>
      <c r="I421" t="n">
        <v>1.0273289</v>
      </c>
      <c r="J421" t="n">
        <v>1.0386183</v>
      </c>
      <c r="K421" t="n">
        <v>1.0386183</v>
      </c>
      <c r="L421" t="n">
        <v>0.3791333</v>
      </c>
      <c r="M421" t="n">
        <v>0.342443</v>
      </c>
      <c r="N421" t="n">
        <v>0.3791333</v>
      </c>
      <c r="O421" t="n">
        <v>0.3669032</v>
      </c>
      <c r="P421" t="n">
        <v>0.3791333</v>
      </c>
      <c r="Q421" t="n">
        <v>0.3669032</v>
      </c>
      <c r="R421" t="n">
        <v>0.3791333</v>
      </c>
      <c r="S421" t="n">
        <v>0.3791333</v>
      </c>
      <c r="T421" t="n">
        <v>0.3669032</v>
      </c>
      <c r="U421" t="n">
        <v>0.3791333</v>
      </c>
      <c r="V421" t="n">
        <v>0.3669032</v>
      </c>
      <c r="W421" t="n">
        <v>0.3791333</v>
      </c>
      <c r="X421" t="n">
        <v>0.0141117</v>
      </c>
      <c r="Y421" t="n">
        <v>0.0141117</v>
      </c>
      <c r="Z421" t="n">
        <v>0.0141117</v>
      </c>
      <c r="AA421" t="n">
        <v>0.0141117</v>
      </c>
      <c r="AB421" t="n">
        <v>0.0141117</v>
      </c>
      <c r="AC421" t="n">
        <v>0.0141117</v>
      </c>
      <c r="AD421" t="n">
        <v>0.0141117</v>
      </c>
      <c r="AE421" t="n">
        <v>0.0141117</v>
      </c>
      <c r="AF421" t="n">
        <v>0.0141117</v>
      </c>
      <c r="AG421" t="n">
        <v>0.0141117</v>
      </c>
      <c r="AH421" t="n">
        <v>0.0141117</v>
      </c>
      <c r="AI421" t="n">
        <v>0.0141117</v>
      </c>
    </row>
    <row r="422">
      <c r="A422" t="n">
        <v>95</v>
      </c>
      <c r="B422" s="13" t="n">
        <v>46023</v>
      </c>
      <c r="C422" s="13" t="n">
        <v>2958465</v>
      </c>
      <c r="D422" s="13" t="n">
        <v>46023</v>
      </c>
      <c r="E422" t="n">
        <v>1</v>
      </c>
      <c r="G422" t="n">
        <v>3.58204753</v>
      </c>
      <c r="H422" t="n">
        <v>1.05989352</v>
      </c>
      <c r="I422" t="n">
        <v>1.07167011</v>
      </c>
      <c r="J422" t="n">
        <v>1.0834467</v>
      </c>
      <c r="K422" t="n">
        <v>1.0834467</v>
      </c>
      <c r="L422" t="n">
        <v>0.3954973</v>
      </c>
      <c r="M422" t="n">
        <v>0.35722337</v>
      </c>
      <c r="N422" t="n">
        <v>0.3954973</v>
      </c>
      <c r="O422" t="n">
        <v>0.38273932</v>
      </c>
      <c r="P422" t="n">
        <v>0.3954973</v>
      </c>
      <c r="Q422" t="n">
        <v>0.38273932</v>
      </c>
      <c r="R422" t="n">
        <v>0.3954973</v>
      </c>
      <c r="S422" t="n">
        <v>0.3954973</v>
      </c>
      <c r="T422" t="n">
        <v>0.38273932</v>
      </c>
      <c r="U422" t="n">
        <v>0.3954973</v>
      </c>
      <c r="V422" t="n">
        <v>0.38273932</v>
      </c>
      <c r="W422" t="n">
        <v>0.3954973</v>
      </c>
      <c r="X422" t="n">
        <v>0.01472074</v>
      </c>
      <c r="Y422" t="n">
        <v>0.01472074</v>
      </c>
      <c r="Z422" t="n">
        <v>0.01472074</v>
      </c>
      <c r="AA422" t="n">
        <v>0.01472074</v>
      </c>
      <c r="AB422" t="n">
        <v>0.01472074</v>
      </c>
      <c r="AC422" t="n">
        <v>0.01472074</v>
      </c>
      <c r="AD422" t="n">
        <v>0.01472074</v>
      </c>
      <c r="AE422" t="n">
        <v>0.01472074</v>
      </c>
      <c r="AF422" t="n">
        <v>0.01472074</v>
      </c>
      <c r="AG422" t="n">
        <v>0.01472074</v>
      </c>
      <c r="AH422" t="n">
        <v>0.01472074</v>
      </c>
      <c r="AI422" t="n">
        <v>0.01472074</v>
      </c>
    </row>
    <row r="423">
      <c r="A423" t="n">
        <v>96</v>
      </c>
      <c r="B423" s="13" t="n">
        <v>44562</v>
      </c>
      <c r="C423" s="13" t="n">
        <v>44926</v>
      </c>
      <c r="D423" s="13" t="n">
        <v>44562</v>
      </c>
      <c r="E423" t="n">
        <v>0</v>
      </c>
      <c r="F423" s="13" t="n">
        <v>44926</v>
      </c>
      <c r="G423" t="n">
        <v>5.594</v>
      </c>
      <c r="H423" t="n">
        <v>1.655</v>
      </c>
      <c r="I423" t="n">
        <v>1.674</v>
      </c>
      <c r="J423" t="n">
        <v>1.692</v>
      </c>
      <c r="K423" t="n">
        <v>1.692</v>
      </c>
      <c r="L423" t="n">
        <v>0.618</v>
      </c>
      <c r="M423" t="n">
        <v>0.5580000000000001</v>
      </c>
      <c r="N423" t="n">
        <v>0.618</v>
      </c>
      <c r="O423" t="n">
        <v>0.598</v>
      </c>
      <c r="P423" t="n">
        <v>0.618</v>
      </c>
      <c r="Q423" t="n">
        <v>0.598</v>
      </c>
      <c r="R423" t="n">
        <v>0.618</v>
      </c>
      <c r="S423" t="n">
        <v>0.618</v>
      </c>
      <c r="T423" t="n">
        <v>0.598</v>
      </c>
      <c r="U423" t="n">
        <v>0.618</v>
      </c>
      <c r="V423" t="n">
        <v>0.598</v>
      </c>
      <c r="W423" t="n">
        <v>0.618</v>
      </c>
      <c r="X423" t="n">
        <v>0.023</v>
      </c>
      <c r="Y423" t="n">
        <v>0.023</v>
      </c>
      <c r="Z423" t="n">
        <v>0.023</v>
      </c>
      <c r="AA423" t="n">
        <v>0.023</v>
      </c>
      <c r="AB423" t="n">
        <v>0.023</v>
      </c>
      <c r="AC423" t="n">
        <v>0.023</v>
      </c>
      <c r="AD423" t="n">
        <v>0.023</v>
      </c>
      <c r="AE423" t="n">
        <v>0.023</v>
      </c>
      <c r="AF423" t="n">
        <v>0.023</v>
      </c>
      <c r="AG423" t="n">
        <v>0.023</v>
      </c>
      <c r="AH423" t="n">
        <v>0.023</v>
      </c>
      <c r="AI423" t="n">
        <v>0.023</v>
      </c>
    </row>
    <row r="424">
      <c r="A424" t="n">
        <v>96</v>
      </c>
      <c r="B424" s="13" t="n">
        <v>44927</v>
      </c>
      <c r="C424" s="13" t="n">
        <v>45291</v>
      </c>
      <c r="D424" s="13" t="n">
        <v>44927</v>
      </c>
      <c r="E424" t="n">
        <v>0</v>
      </c>
      <c r="F424" s="13" t="n">
        <v>45291</v>
      </c>
      <c r="G424" t="n">
        <v>5.871</v>
      </c>
      <c r="H424" t="n">
        <v>1.737</v>
      </c>
      <c r="I424" t="n">
        <v>1.757</v>
      </c>
      <c r="J424" t="n">
        <v>1.776</v>
      </c>
      <c r="K424" t="n">
        <v>1.776</v>
      </c>
      <c r="L424" t="n">
        <v>0.648</v>
      </c>
      <c r="M424" t="n">
        <v>0.586</v>
      </c>
      <c r="N424" t="n">
        <v>0.648</v>
      </c>
      <c r="O424" t="n">
        <v>0.627</v>
      </c>
      <c r="P424" t="n">
        <v>0.648</v>
      </c>
      <c r="Q424" t="n">
        <v>0.627</v>
      </c>
      <c r="R424" t="n">
        <v>0.648</v>
      </c>
      <c r="S424" t="n">
        <v>0.648</v>
      </c>
      <c r="T424" t="n">
        <v>0.627</v>
      </c>
      <c r="U424" t="n">
        <v>0.648</v>
      </c>
      <c r="V424" t="n">
        <v>0.627</v>
      </c>
      <c r="W424" t="n">
        <v>0.648</v>
      </c>
      <c r="X424" t="n">
        <v>0.024</v>
      </c>
      <c r="Y424" t="n">
        <v>0.024</v>
      </c>
      <c r="Z424" t="n">
        <v>0.024</v>
      </c>
      <c r="AA424" t="n">
        <v>0.024</v>
      </c>
      <c r="AB424" t="n">
        <v>0.024</v>
      </c>
      <c r="AC424" t="n">
        <v>0.024</v>
      </c>
      <c r="AD424" t="n">
        <v>0.024</v>
      </c>
      <c r="AE424" t="n">
        <v>0.024</v>
      </c>
      <c r="AF424" t="n">
        <v>0.024</v>
      </c>
      <c r="AG424" t="n">
        <v>0.024</v>
      </c>
      <c r="AH424" t="n">
        <v>0.024</v>
      </c>
      <c r="AI424" t="n">
        <v>0.024</v>
      </c>
    </row>
    <row r="425">
      <c r="A425" t="n">
        <v>96</v>
      </c>
      <c r="B425" s="13" t="n">
        <v>45292</v>
      </c>
      <c r="C425" s="13" t="n">
        <v>45657</v>
      </c>
      <c r="D425" s="13" t="n">
        <v>45292</v>
      </c>
      <c r="E425" t="n">
        <v>0</v>
      </c>
      <c r="F425" s="13" t="n">
        <v>45657</v>
      </c>
      <c r="G425" t="n">
        <v>6.91703</v>
      </c>
      <c r="H425" t="n">
        <v>2.06377</v>
      </c>
      <c r="I425" t="n">
        <v>2.06377</v>
      </c>
      <c r="J425" t="n">
        <v>2.086448</v>
      </c>
      <c r="K425" t="n">
        <v>2.086448</v>
      </c>
      <c r="L425" t="n">
        <v>0.761629</v>
      </c>
      <c r="M425" t="n">
        <v>0.712492</v>
      </c>
      <c r="N425" t="n">
        <v>0.761629</v>
      </c>
      <c r="O425" t="n">
        <v>0.737061</v>
      </c>
      <c r="P425" t="n">
        <v>0.761629</v>
      </c>
      <c r="Q425" t="n">
        <v>0.737061</v>
      </c>
      <c r="R425" t="n">
        <v>0.761629</v>
      </c>
      <c r="S425" t="n">
        <v>0.761629</v>
      </c>
      <c r="T425" t="n">
        <v>0.737061</v>
      </c>
      <c r="U425" t="n">
        <v>0.761629</v>
      </c>
      <c r="V425" t="n">
        <v>0.737061</v>
      </c>
      <c r="W425" t="n">
        <v>0.761629</v>
      </c>
      <c r="X425" t="n">
        <v>0.028348</v>
      </c>
      <c r="Y425" t="n">
        <v>0.028348</v>
      </c>
      <c r="Z425" t="n">
        <v>0.028348</v>
      </c>
      <c r="AA425" t="n">
        <v>0.028348</v>
      </c>
      <c r="AB425" t="n">
        <v>0.028348</v>
      </c>
      <c r="AC425" t="n">
        <v>0.028348</v>
      </c>
      <c r="AD425" t="n">
        <v>0.028348</v>
      </c>
      <c r="AE425" t="n">
        <v>0.028348</v>
      </c>
      <c r="AF425" t="n">
        <v>0.028348</v>
      </c>
      <c r="AG425" t="n">
        <v>0.028348</v>
      </c>
      <c r="AH425" t="n">
        <v>0.028348</v>
      </c>
      <c r="AI425" t="n">
        <v>0.028348</v>
      </c>
    </row>
    <row r="426">
      <c r="A426" t="n">
        <v>96</v>
      </c>
      <c r="B426" s="13" t="n">
        <v>45658</v>
      </c>
      <c r="C426" s="13" t="n">
        <v>46022</v>
      </c>
      <c r="D426" s="13" t="n">
        <v>45658</v>
      </c>
      <c r="E426" t="n">
        <v>0</v>
      </c>
      <c r="F426" s="13" t="n">
        <v>46022</v>
      </c>
      <c r="G426" t="n">
        <v>8.5559561</v>
      </c>
      <c r="H426" t="n">
        <v>2.5316254</v>
      </c>
      <c r="I426" t="n">
        <v>2.5597546</v>
      </c>
      <c r="J426" t="n">
        <v>2.5878837</v>
      </c>
      <c r="K426" t="n">
        <v>2.5878837</v>
      </c>
      <c r="L426" t="n">
        <v>0.9446713</v>
      </c>
      <c r="M426" t="n">
        <v>0.8532515000000001</v>
      </c>
      <c r="N426" t="n">
        <v>0.9446713</v>
      </c>
      <c r="O426" t="n">
        <v>0.9141981</v>
      </c>
      <c r="P426" t="n">
        <v>0.9446713</v>
      </c>
      <c r="Q426" t="n">
        <v>0.9141981</v>
      </c>
      <c r="R426" t="n">
        <v>0.9446713</v>
      </c>
      <c r="S426" t="n">
        <v>0.9446713</v>
      </c>
      <c r="T426" t="n">
        <v>0.9141981</v>
      </c>
      <c r="U426" t="n">
        <v>0.9446713</v>
      </c>
      <c r="V426" t="n">
        <v>0.9141981</v>
      </c>
      <c r="W426" t="n">
        <v>0.9446713</v>
      </c>
      <c r="X426" t="n">
        <v>0.0351615</v>
      </c>
      <c r="Y426" t="n">
        <v>0.0351615</v>
      </c>
      <c r="Z426" t="n">
        <v>0.0351615</v>
      </c>
      <c r="AA426" t="n">
        <v>0.0351615</v>
      </c>
      <c r="AB426" t="n">
        <v>0.0351615</v>
      </c>
      <c r="AC426" t="n">
        <v>0.0351615</v>
      </c>
      <c r="AD426" t="n">
        <v>0.0351615</v>
      </c>
      <c r="AE426" t="n">
        <v>0.0351615</v>
      </c>
      <c r="AF426" t="n">
        <v>0.0351615</v>
      </c>
      <c r="AG426" t="n">
        <v>0.0351615</v>
      </c>
      <c r="AH426" t="n">
        <v>0.0351615</v>
      </c>
      <c r="AI426" t="n">
        <v>0.0351615</v>
      </c>
    </row>
    <row r="427">
      <c r="A427" t="n">
        <v>96</v>
      </c>
      <c r="B427" s="13" t="n">
        <v>46023</v>
      </c>
      <c r="C427" s="13" t="n">
        <v>2958465</v>
      </c>
      <c r="D427" s="13" t="n">
        <v>46023</v>
      </c>
      <c r="E427" t="n">
        <v>1</v>
      </c>
      <c r="G427" t="n">
        <v>10.04511586</v>
      </c>
      <c r="H427" t="n">
        <v>2.97225346</v>
      </c>
      <c r="I427" t="n">
        <v>3.0052785</v>
      </c>
      <c r="J427" t="n">
        <v>3.03830354</v>
      </c>
      <c r="K427" t="n">
        <v>3.03830354</v>
      </c>
      <c r="L427" t="n">
        <v>1.10909087</v>
      </c>
      <c r="M427" t="n">
        <v>1.0017595</v>
      </c>
      <c r="N427" t="n">
        <v>1.10909087</v>
      </c>
      <c r="O427" t="n">
        <v>1.07331375</v>
      </c>
      <c r="P427" t="n">
        <v>1.10909087</v>
      </c>
      <c r="Q427" t="n">
        <v>1.07331375</v>
      </c>
      <c r="R427" t="n">
        <v>1.10909087</v>
      </c>
      <c r="S427" t="n">
        <v>1.10909087</v>
      </c>
      <c r="T427" t="n">
        <v>1.07331375</v>
      </c>
      <c r="U427" t="n">
        <v>1.10909087</v>
      </c>
      <c r="V427" t="n">
        <v>1.07331375</v>
      </c>
      <c r="W427" t="n">
        <v>1.10909087</v>
      </c>
      <c r="X427" t="n">
        <v>0.0412813</v>
      </c>
      <c r="Y427" t="n">
        <v>0.0412813</v>
      </c>
      <c r="Z427" t="n">
        <v>0.0412813</v>
      </c>
      <c r="AA427" t="n">
        <v>0.0412813</v>
      </c>
      <c r="AB427" t="n">
        <v>0.0412813</v>
      </c>
      <c r="AC427" t="n">
        <v>0.0412813</v>
      </c>
      <c r="AD427" t="n">
        <v>0.0412813</v>
      </c>
      <c r="AE427" t="n">
        <v>0.0412813</v>
      </c>
      <c r="AF427" t="n">
        <v>0.0412813</v>
      </c>
      <c r="AG427" t="n">
        <v>0.0412813</v>
      </c>
      <c r="AH427" t="n">
        <v>0.0412813</v>
      </c>
      <c r="AI427" t="n">
        <v>0.0412813</v>
      </c>
    </row>
    <row r="428">
      <c r="A428" t="n">
        <v>97</v>
      </c>
      <c r="B428" s="13" t="n">
        <v>44562</v>
      </c>
      <c r="C428" s="13" t="n">
        <v>44926</v>
      </c>
      <c r="D428" s="13" t="n">
        <v>44562</v>
      </c>
      <c r="E428" t="n">
        <v>0</v>
      </c>
      <c r="F428" s="13" t="n">
        <v>44926</v>
      </c>
      <c r="G428" t="n">
        <v>7.304</v>
      </c>
      <c r="H428" t="n">
        <v>2.161</v>
      </c>
      <c r="I428" t="n">
        <v>2.185</v>
      </c>
      <c r="J428" t="n">
        <v>2.209</v>
      </c>
      <c r="K428" t="n">
        <v>2.209</v>
      </c>
      <c r="L428" t="n">
        <v>0.806</v>
      </c>
      <c r="M428" t="n">
        <v>0.728</v>
      </c>
      <c r="N428" t="n">
        <v>0.806</v>
      </c>
      <c r="O428" t="n">
        <v>0.78</v>
      </c>
      <c r="P428" t="n">
        <v>0.806</v>
      </c>
      <c r="Q428" t="n">
        <v>0.78</v>
      </c>
      <c r="R428" t="n">
        <v>0.806</v>
      </c>
      <c r="S428" t="n">
        <v>0.806</v>
      </c>
      <c r="T428" t="n">
        <v>0.78</v>
      </c>
      <c r="U428" t="n">
        <v>0.806</v>
      </c>
      <c r="V428" t="n">
        <v>0.78</v>
      </c>
      <c r="W428" t="n">
        <v>0.806</v>
      </c>
      <c r="X428" t="n">
        <v>0.03</v>
      </c>
      <c r="Y428" t="n">
        <v>0.03</v>
      </c>
      <c r="Z428" t="n">
        <v>0.03</v>
      </c>
      <c r="AA428" t="n">
        <v>0.03</v>
      </c>
      <c r="AB428" t="n">
        <v>0.03</v>
      </c>
      <c r="AC428" t="n">
        <v>0.03</v>
      </c>
      <c r="AD428" t="n">
        <v>0.03</v>
      </c>
      <c r="AE428" t="n">
        <v>0.03</v>
      </c>
      <c r="AF428" t="n">
        <v>0.03</v>
      </c>
      <c r="AG428" t="n">
        <v>0.03</v>
      </c>
      <c r="AH428" t="n">
        <v>0.03</v>
      </c>
      <c r="AI428" t="n">
        <v>0.03</v>
      </c>
    </row>
    <row r="429">
      <c r="A429" t="n">
        <v>97</v>
      </c>
      <c r="B429" s="13" t="n">
        <v>44927</v>
      </c>
      <c r="C429" s="13" t="n">
        <v>45291</v>
      </c>
      <c r="D429" s="13" t="n">
        <v>44927</v>
      </c>
      <c r="E429" t="n">
        <v>0</v>
      </c>
      <c r="F429" s="13" t="n">
        <v>45291</v>
      </c>
      <c r="G429" t="n">
        <v>7.276</v>
      </c>
      <c r="H429" t="n">
        <v>2.153</v>
      </c>
      <c r="I429" t="n">
        <v>2.177</v>
      </c>
      <c r="J429" t="n">
        <v>2.201</v>
      </c>
      <c r="K429" t="n">
        <v>2.201</v>
      </c>
      <c r="L429" t="n">
        <v>0.803</v>
      </c>
      <c r="M429" t="n">
        <v>0.726</v>
      </c>
      <c r="N429" t="n">
        <v>0.803</v>
      </c>
      <c r="O429" t="n">
        <v>0.777</v>
      </c>
      <c r="P429" t="n">
        <v>0.803</v>
      </c>
      <c r="Q429" t="n">
        <v>0.777</v>
      </c>
      <c r="R429" t="n">
        <v>0.803</v>
      </c>
      <c r="S429" t="n">
        <v>0.803</v>
      </c>
      <c r="T429" t="n">
        <v>0.777</v>
      </c>
      <c r="U429" t="n">
        <v>0.803</v>
      </c>
      <c r="V429" t="n">
        <v>0.777</v>
      </c>
      <c r="W429" t="n">
        <v>0.803</v>
      </c>
      <c r="X429" t="n">
        <v>0.03</v>
      </c>
      <c r="Y429" t="n">
        <v>0.03</v>
      </c>
      <c r="Z429" t="n">
        <v>0.03</v>
      </c>
      <c r="AA429" t="n">
        <v>0.03</v>
      </c>
      <c r="AB429" t="n">
        <v>0.03</v>
      </c>
      <c r="AC429" t="n">
        <v>0.03</v>
      </c>
      <c r="AD429" t="n">
        <v>0.03</v>
      </c>
      <c r="AE429" t="n">
        <v>0.03</v>
      </c>
      <c r="AF429" t="n">
        <v>0.03</v>
      </c>
      <c r="AG429" t="n">
        <v>0.03</v>
      </c>
      <c r="AH429" t="n">
        <v>0.03</v>
      </c>
      <c r="AI429" t="n">
        <v>0.03</v>
      </c>
    </row>
    <row r="430">
      <c r="A430" t="n">
        <v>97</v>
      </c>
      <c r="B430" s="13" t="n">
        <v>45292</v>
      </c>
      <c r="C430" s="13" t="n">
        <v>45657</v>
      </c>
      <c r="D430" s="13" t="n">
        <v>45292</v>
      </c>
      <c r="E430" t="n">
        <v>0</v>
      </c>
      <c r="F430" s="13" t="n">
        <v>45657</v>
      </c>
      <c r="G430" t="n">
        <v>7.610585</v>
      </c>
      <c r="H430" t="n">
        <v>2.270699</v>
      </c>
      <c r="I430" t="n">
        <v>2.270699</v>
      </c>
      <c r="J430" t="n">
        <v>2.295652</v>
      </c>
      <c r="K430" t="n">
        <v>2.295652</v>
      </c>
      <c r="L430" t="n">
        <v>0.837996</v>
      </c>
      <c r="M430" t="n">
        <v>0.783932</v>
      </c>
      <c r="N430" t="n">
        <v>0.837996</v>
      </c>
      <c r="O430" t="n">
        <v>0.810964</v>
      </c>
      <c r="P430" t="n">
        <v>0.837996</v>
      </c>
      <c r="Q430" t="n">
        <v>0.810964</v>
      </c>
      <c r="R430" t="n">
        <v>0.837996</v>
      </c>
      <c r="S430" t="n">
        <v>0.837996</v>
      </c>
      <c r="T430" t="n">
        <v>0.810964</v>
      </c>
      <c r="U430" t="n">
        <v>0.837996</v>
      </c>
      <c r="V430" t="n">
        <v>0.810964</v>
      </c>
      <c r="W430" t="n">
        <v>0.837996</v>
      </c>
      <c r="X430" t="n">
        <v>0.031191</v>
      </c>
      <c r="Y430" t="n">
        <v>0.031191</v>
      </c>
      <c r="Z430" t="n">
        <v>0.031191</v>
      </c>
      <c r="AA430" t="n">
        <v>0.031191</v>
      </c>
      <c r="AB430" t="n">
        <v>0.031191</v>
      </c>
      <c r="AC430" t="n">
        <v>0.031191</v>
      </c>
      <c r="AD430" t="n">
        <v>0.031191</v>
      </c>
      <c r="AE430" t="n">
        <v>0.031191</v>
      </c>
      <c r="AF430" t="n">
        <v>0.031191</v>
      </c>
      <c r="AG430" t="n">
        <v>0.031191</v>
      </c>
      <c r="AH430" t="n">
        <v>0.031191</v>
      </c>
      <c r="AI430" t="n">
        <v>0.031191</v>
      </c>
    </row>
    <row r="431">
      <c r="A431" t="n">
        <v>97</v>
      </c>
      <c r="B431" s="13" t="n">
        <v>45658</v>
      </c>
      <c r="C431" s="13" t="n">
        <v>46022</v>
      </c>
      <c r="D431" s="13" t="n">
        <v>45658</v>
      </c>
      <c r="E431" t="n">
        <v>0</v>
      </c>
      <c r="F431" s="13" t="n">
        <v>46022</v>
      </c>
      <c r="G431" t="n">
        <v>9.125527099999999</v>
      </c>
      <c r="H431" t="n">
        <v>2.700156</v>
      </c>
      <c r="I431" t="n">
        <v>2.7301577</v>
      </c>
      <c r="J431" t="n">
        <v>2.7601594</v>
      </c>
      <c r="K431" t="n">
        <v>2.7601594</v>
      </c>
      <c r="L431" t="n">
        <v>1.0075582</v>
      </c>
      <c r="M431" t="n">
        <v>0.9100526</v>
      </c>
      <c r="N431" t="n">
        <v>1.0075582</v>
      </c>
      <c r="O431" t="n">
        <v>0.9750563</v>
      </c>
      <c r="P431" t="n">
        <v>1.0075582</v>
      </c>
      <c r="Q431" t="n">
        <v>0.9750563</v>
      </c>
      <c r="R431" t="n">
        <v>1.0075582</v>
      </c>
      <c r="S431" t="n">
        <v>1.0075582</v>
      </c>
      <c r="T431" t="n">
        <v>0.9750563</v>
      </c>
      <c r="U431" t="n">
        <v>1.0075582</v>
      </c>
      <c r="V431" t="n">
        <v>0.9750563</v>
      </c>
      <c r="W431" t="n">
        <v>1.0075582</v>
      </c>
      <c r="X431" t="n">
        <v>0.0375022</v>
      </c>
      <c r="Y431" t="n">
        <v>0.0375022</v>
      </c>
      <c r="Z431" t="n">
        <v>0.0375022</v>
      </c>
      <c r="AA431" t="n">
        <v>0.0375022</v>
      </c>
      <c r="AB431" t="n">
        <v>0.0375022</v>
      </c>
      <c r="AC431" t="n">
        <v>0.0375022</v>
      </c>
      <c r="AD431" t="n">
        <v>0.0375022</v>
      </c>
      <c r="AE431" t="n">
        <v>0.0375022</v>
      </c>
      <c r="AF431" t="n">
        <v>0.0375022</v>
      </c>
      <c r="AG431" t="n">
        <v>0.0375022</v>
      </c>
      <c r="AH431" t="n">
        <v>0.0375022</v>
      </c>
      <c r="AI431" t="n">
        <v>0.0375022</v>
      </c>
    </row>
    <row r="432">
      <c r="A432" t="n">
        <v>97</v>
      </c>
      <c r="B432" s="13" t="n">
        <v>46023</v>
      </c>
      <c r="C432" s="13" t="n">
        <v>2958465</v>
      </c>
      <c r="D432" s="13" t="n">
        <v>46023</v>
      </c>
      <c r="E432" t="n">
        <v>1</v>
      </c>
      <c r="G432" t="n">
        <v>10.55091997</v>
      </c>
      <c r="H432" t="n">
        <v>3.12191605</v>
      </c>
      <c r="I432" t="n">
        <v>3.156604</v>
      </c>
      <c r="J432" t="n">
        <v>3.19129196</v>
      </c>
      <c r="K432" t="n">
        <v>3.19129196</v>
      </c>
      <c r="L432" t="n">
        <v>1.16493719</v>
      </c>
      <c r="M432" t="n">
        <v>1.05220133</v>
      </c>
      <c r="N432" t="n">
        <v>1.16493719</v>
      </c>
      <c r="O432" t="n">
        <v>1.12735857</v>
      </c>
      <c r="P432" t="n">
        <v>1.16493719</v>
      </c>
      <c r="Q432" t="n">
        <v>1.12735857</v>
      </c>
      <c r="R432" t="n">
        <v>1.16493719</v>
      </c>
      <c r="S432" t="n">
        <v>1.16493719</v>
      </c>
      <c r="T432" t="n">
        <v>1.12735857</v>
      </c>
      <c r="U432" t="n">
        <v>1.16493719</v>
      </c>
      <c r="V432" t="n">
        <v>1.12735857</v>
      </c>
      <c r="W432" t="n">
        <v>1.16493719</v>
      </c>
      <c r="X432" t="n">
        <v>0.04335995</v>
      </c>
      <c r="Y432" t="n">
        <v>0.04335995</v>
      </c>
      <c r="Z432" t="n">
        <v>0.04335995</v>
      </c>
      <c r="AA432" t="n">
        <v>0.04335995</v>
      </c>
      <c r="AB432" t="n">
        <v>0.04335995</v>
      </c>
      <c r="AC432" t="n">
        <v>0.04335995</v>
      </c>
      <c r="AD432" t="n">
        <v>0.04335995</v>
      </c>
      <c r="AE432" t="n">
        <v>0.04335995</v>
      </c>
      <c r="AF432" t="n">
        <v>0.04335995</v>
      </c>
      <c r="AG432" t="n">
        <v>0.04335995</v>
      </c>
      <c r="AH432" t="n">
        <v>0.04335995</v>
      </c>
      <c r="AI432" t="n">
        <v>0.04335995</v>
      </c>
    </row>
    <row r="433">
      <c r="A433" t="n">
        <v>98</v>
      </c>
      <c r="B433" s="13" t="n">
        <v>44835</v>
      </c>
      <c r="C433" s="13" t="n">
        <v>45657</v>
      </c>
      <c r="D433" s="13" t="n">
        <v>44835</v>
      </c>
      <c r="E433" t="n">
        <v>0</v>
      </c>
      <c r="F433" s="13" t="n">
        <v>45657</v>
      </c>
      <c r="G433" t="n">
        <v>0.00308</v>
      </c>
      <c r="H433" t="n">
        <v>0.00339</v>
      </c>
      <c r="I433" t="n">
        <v>0.00339</v>
      </c>
      <c r="J433" t="n">
        <v>0.00339</v>
      </c>
      <c r="K433" t="n">
        <v>0.00339</v>
      </c>
      <c r="L433" t="n">
        <v>0.0037</v>
      </c>
      <c r="M433" t="n">
        <v>0.0037</v>
      </c>
      <c r="N433" t="n">
        <v>0.0037</v>
      </c>
      <c r="O433" t="n">
        <v>0.0037</v>
      </c>
      <c r="P433" t="n">
        <v>0.0037</v>
      </c>
      <c r="Q433" t="n">
        <v>0.0037</v>
      </c>
      <c r="R433" t="n">
        <v>0.0037</v>
      </c>
      <c r="S433" t="n">
        <v>0.0037</v>
      </c>
      <c r="T433" t="n">
        <v>0.0037</v>
      </c>
      <c r="U433" t="n">
        <v>0.0037</v>
      </c>
      <c r="V433" t="n">
        <v>0.0037</v>
      </c>
      <c r="W433" t="n">
        <v>0.0037</v>
      </c>
      <c r="X433" t="n">
        <v>0.00432</v>
      </c>
      <c r="Y433" t="n">
        <v>0.00432</v>
      </c>
      <c r="Z433" t="n">
        <v>0.00432</v>
      </c>
      <c r="AA433" t="n">
        <v>0.00432</v>
      </c>
      <c r="AB433" t="n">
        <v>0.00432</v>
      </c>
      <c r="AC433" t="n">
        <v>0.00432</v>
      </c>
      <c r="AD433" t="n">
        <v>0.00432</v>
      </c>
      <c r="AE433" t="n">
        <v>0.00432</v>
      </c>
      <c r="AF433" t="n">
        <v>0.00432</v>
      </c>
      <c r="AG433" t="n">
        <v>0.00432</v>
      </c>
      <c r="AH433" t="n">
        <v>0.00432</v>
      </c>
      <c r="AI433" t="n">
        <v>0.00432</v>
      </c>
    </row>
    <row r="434">
      <c r="A434" t="n">
        <v>98</v>
      </c>
      <c r="B434" s="13" t="n">
        <v>45658</v>
      </c>
      <c r="C434" s="13" t="n">
        <v>46022</v>
      </c>
      <c r="D434" s="13" t="n">
        <v>45658</v>
      </c>
      <c r="E434" t="n">
        <v>0</v>
      </c>
      <c r="F434" s="13" t="n">
        <v>46022</v>
      </c>
      <c r="G434" t="n">
        <v>0.003192</v>
      </c>
      <c r="H434" t="n">
        <v>0.003511</v>
      </c>
      <c r="I434" t="n">
        <v>0.003511</v>
      </c>
      <c r="J434" t="n">
        <v>0.003511</v>
      </c>
      <c r="K434" t="n">
        <v>0.003511</v>
      </c>
      <c r="L434" t="n">
        <v>0.00383</v>
      </c>
      <c r="M434" t="n">
        <v>0.00383</v>
      </c>
      <c r="N434" t="n">
        <v>0.00383</v>
      </c>
      <c r="O434" t="n">
        <v>0.00383</v>
      </c>
      <c r="P434" t="n">
        <v>0.00383</v>
      </c>
      <c r="Q434" t="n">
        <v>0.00383</v>
      </c>
      <c r="R434" t="n">
        <v>0.00383</v>
      </c>
      <c r="S434" t="n">
        <v>0.00383</v>
      </c>
      <c r="T434" t="n">
        <v>0.00383</v>
      </c>
      <c r="U434" t="n">
        <v>0.00383</v>
      </c>
      <c r="V434" t="n">
        <v>0.00383</v>
      </c>
      <c r="W434" t="n">
        <v>0.00383</v>
      </c>
      <c r="X434" t="n">
        <v>0.004468</v>
      </c>
      <c r="Y434" t="n">
        <v>0.004468</v>
      </c>
      <c r="Z434" t="n">
        <v>0.004468</v>
      </c>
      <c r="AA434" t="n">
        <v>0.004468</v>
      </c>
      <c r="AB434" t="n">
        <v>0.004468</v>
      </c>
      <c r="AC434" t="n">
        <v>0.004468</v>
      </c>
      <c r="AD434" t="n">
        <v>0.004468</v>
      </c>
      <c r="AE434" t="n">
        <v>0.004468</v>
      </c>
      <c r="AF434" t="n">
        <v>0.004468</v>
      </c>
      <c r="AG434" t="n">
        <v>0.004468</v>
      </c>
      <c r="AH434" t="n">
        <v>0.004468</v>
      </c>
      <c r="AI434" t="n">
        <v>0.004468</v>
      </c>
    </row>
    <row r="435">
      <c r="A435" t="n">
        <v>98</v>
      </c>
      <c r="B435" s="13" t="n">
        <v>46023</v>
      </c>
      <c r="C435" s="13" t="n">
        <v>2958465</v>
      </c>
      <c r="D435" s="13" t="n">
        <v>46023</v>
      </c>
      <c r="E435" t="n">
        <v>1</v>
      </c>
      <c r="G435" t="n">
        <v>0.00322515</v>
      </c>
      <c r="H435" t="n">
        <v>0.00354766</v>
      </c>
      <c r="I435" t="n">
        <v>0.00354766</v>
      </c>
      <c r="J435" t="n">
        <v>0.00354766</v>
      </c>
      <c r="K435" t="n">
        <v>0.00354766</v>
      </c>
      <c r="L435" t="n">
        <v>0.00387018</v>
      </c>
      <c r="M435" t="n">
        <v>0.00387018</v>
      </c>
      <c r="N435" t="n">
        <v>0.00387018</v>
      </c>
      <c r="O435" t="n">
        <v>0.00387018</v>
      </c>
      <c r="P435" t="n">
        <v>0.00387018</v>
      </c>
      <c r="Q435" t="n">
        <v>0.00387018</v>
      </c>
      <c r="R435" t="n">
        <v>0.00387018</v>
      </c>
      <c r="S435" t="n">
        <v>0.00387018</v>
      </c>
      <c r="T435" t="n">
        <v>0.00387018</v>
      </c>
      <c r="U435" t="n">
        <v>0.00387018</v>
      </c>
      <c r="V435" t="n">
        <v>0.00387018</v>
      </c>
      <c r="W435" t="n">
        <v>0.00387018</v>
      </c>
      <c r="X435" t="n">
        <v>0.00451521</v>
      </c>
      <c r="Y435" t="n">
        <v>0.00451521</v>
      </c>
      <c r="Z435" t="n">
        <v>0.00451521</v>
      </c>
      <c r="AA435" t="n">
        <v>0.00451521</v>
      </c>
      <c r="AB435" t="n">
        <v>0.00451521</v>
      </c>
      <c r="AC435" t="n">
        <v>0.00451521</v>
      </c>
      <c r="AD435" t="n">
        <v>0.00451521</v>
      </c>
      <c r="AE435" t="n">
        <v>0.00451521</v>
      </c>
      <c r="AF435" t="n">
        <v>0.00451521</v>
      </c>
      <c r="AG435" t="n">
        <v>0.00451521</v>
      </c>
      <c r="AH435" t="n">
        <v>0.00451521</v>
      </c>
      <c r="AI435" t="n">
        <v>0.00451521</v>
      </c>
    </row>
    <row r="436">
      <c r="A436" t="n">
        <v>99</v>
      </c>
      <c r="B436" s="13" t="n">
        <v>44835</v>
      </c>
      <c r="C436" s="13" t="n">
        <v>45657</v>
      </c>
      <c r="D436" s="13" t="n">
        <v>44835</v>
      </c>
      <c r="E436" t="n">
        <v>0</v>
      </c>
      <c r="F436" s="13" t="n">
        <v>45657</v>
      </c>
      <c r="G436" t="n">
        <v>0.00036</v>
      </c>
      <c r="H436" t="n">
        <v>0.00039</v>
      </c>
      <c r="I436" t="n">
        <v>0.00039</v>
      </c>
      <c r="J436" t="n">
        <v>0.00039</v>
      </c>
      <c r="K436" t="n">
        <v>0.00039</v>
      </c>
      <c r="L436" t="n">
        <v>0.00043</v>
      </c>
      <c r="M436" t="n">
        <v>0.00043</v>
      </c>
      <c r="N436" t="n">
        <v>0.00043</v>
      </c>
      <c r="O436" t="n">
        <v>0.00043</v>
      </c>
      <c r="P436" t="n">
        <v>0.00043</v>
      </c>
      <c r="Q436" t="n">
        <v>0.00043</v>
      </c>
      <c r="R436" t="n">
        <v>0.00043</v>
      </c>
      <c r="S436" t="n">
        <v>0.00043</v>
      </c>
      <c r="T436" t="n">
        <v>0.00043</v>
      </c>
      <c r="U436" t="n">
        <v>0.00043</v>
      </c>
      <c r="V436" t="n">
        <v>0.00043</v>
      </c>
      <c r="W436" t="n">
        <v>0.00043</v>
      </c>
      <c r="X436" t="n">
        <v>0.0005</v>
      </c>
      <c r="Y436" t="n">
        <v>0.0005</v>
      </c>
      <c r="Z436" t="n">
        <v>0.0005</v>
      </c>
      <c r="AA436" t="n">
        <v>0.0005</v>
      </c>
      <c r="AB436" t="n">
        <v>0.0005</v>
      </c>
      <c r="AC436" t="n">
        <v>0.0005</v>
      </c>
      <c r="AD436" t="n">
        <v>0.0005</v>
      </c>
      <c r="AE436" t="n">
        <v>0.0005</v>
      </c>
      <c r="AF436" t="n">
        <v>0.0005</v>
      </c>
      <c r="AG436" t="n">
        <v>0.0005</v>
      </c>
      <c r="AH436" t="n">
        <v>0.0005</v>
      </c>
      <c r="AI436" t="n">
        <v>0.0005</v>
      </c>
    </row>
    <row r="437">
      <c r="A437" t="n">
        <v>99</v>
      </c>
      <c r="B437" s="13" t="n">
        <v>45658</v>
      </c>
      <c r="C437" s="13" t="n">
        <v>46022</v>
      </c>
      <c r="D437" s="13" t="n">
        <v>45658</v>
      </c>
      <c r="E437" t="n">
        <v>0</v>
      </c>
      <c r="F437" s="13" t="n">
        <v>46022</v>
      </c>
      <c r="G437" t="n">
        <v>0.00037</v>
      </c>
      <c r="H437" t="n">
        <v>0.000407</v>
      </c>
      <c r="I437" t="n">
        <v>0.000407</v>
      </c>
      <c r="J437" t="n">
        <v>0.000407</v>
      </c>
      <c r="K437" t="n">
        <v>0.000407</v>
      </c>
      <c r="L437" t="n">
        <v>0.000444</v>
      </c>
      <c r="M437" t="n">
        <v>0.000444</v>
      </c>
      <c r="N437" t="n">
        <v>0.000444</v>
      </c>
      <c r="O437" t="n">
        <v>0.000444</v>
      </c>
      <c r="P437" t="n">
        <v>0.000444</v>
      </c>
      <c r="Q437" t="n">
        <v>0.000444</v>
      </c>
      <c r="R437" t="n">
        <v>0.000444</v>
      </c>
      <c r="S437" t="n">
        <v>0.000444</v>
      </c>
      <c r="T437" t="n">
        <v>0.000444</v>
      </c>
      <c r="U437" t="n">
        <v>0.000444</v>
      </c>
      <c r="V437" t="n">
        <v>0.000444</v>
      </c>
      <c r="W437" t="n">
        <v>0.000444</v>
      </c>
      <c r="X437" t="n">
        <v>0.000518</v>
      </c>
      <c r="Y437" t="n">
        <v>0.000518</v>
      </c>
      <c r="Z437" t="n">
        <v>0.000518</v>
      </c>
      <c r="AA437" t="n">
        <v>0.000518</v>
      </c>
      <c r="AB437" t="n">
        <v>0.000518</v>
      </c>
      <c r="AC437" t="n">
        <v>0.000518</v>
      </c>
      <c r="AD437" t="n">
        <v>0.000518</v>
      </c>
      <c r="AE437" t="n">
        <v>0.000518</v>
      </c>
      <c r="AF437" t="n">
        <v>0.000518</v>
      </c>
      <c r="AG437" t="n">
        <v>0.000518</v>
      </c>
      <c r="AH437" t="n">
        <v>0.000518</v>
      </c>
      <c r="AI437" t="n">
        <v>0.000518</v>
      </c>
    </row>
    <row r="438">
      <c r="A438" t="n">
        <v>99</v>
      </c>
      <c r="B438" s="13" t="n">
        <v>46023</v>
      </c>
      <c r="C438" s="13" t="n">
        <v>2958465</v>
      </c>
      <c r="D438" s="13" t="n">
        <v>46023</v>
      </c>
      <c r="E438" t="n">
        <v>1</v>
      </c>
      <c r="G438" t="n">
        <v>0.00037075</v>
      </c>
      <c r="H438" t="n">
        <v>0.00040782</v>
      </c>
      <c r="I438" t="n">
        <v>0.00040782</v>
      </c>
      <c r="J438" t="n">
        <v>0.00040782</v>
      </c>
      <c r="K438" t="n">
        <v>0.00040782</v>
      </c>
      <c r="L438" t="n">
        <v>0.0004449</v>
      </c>
      <c r="M438" t="n">
        <v>0.0004449</v>
      </c>
      <c r="N438" t="n">
        <v>0.0004449</v>
      </c>
      <c r="O438" t="n">
        <v>0.0004449</v>
      </c>
      <c r="P438" t="n">
        <v>0.0004449</v>
      </c>
      <c r="Q438" t="n">
        <v>0.0004449</v>
      </c>
      <c r="R438" t="n">
        <v>0.0004449</v>
      </c>
      <c r="S438" t="n">
        <v>0.0004449</v>
      </c>
      <c r="T438" t="n">
        <v>0.0004449</v>
      </c>
      <c r="U438" t="n">
        <v>0.0004449</v>
      </c>
      <c r="V438" t="n">
        <v>0.0004449</v>
      </c>
      <c r="W438" t="n">
        <v>0.0004449</v>
      </c>
      <c r="X438" t="n">
        <v>0.00051905</v>
      </c>
      <c r="Y438" t="n">
        <v>0.00051905</v>
      </c>
      <c r="Z438" t="n">
        <v>0.00051905</v>
      </c>
      <c r="AA438" t="n">
        <v>0.00051905</v>
      </c>
      <c r="AB438" t="n">
        <v>0.00051905</v>
      </c>
      <c r="AC438" t="n">
        <v>0.00051905</v>
      </c>
      <c r="AD438" t="n">
        <v>0.00051905</v>
      </c>
      <c r="AE438" t="n">
        <v>0.00051905</v>
      </c>
      <c r="AF438" t="n">
        <v>0.00051905</v>
      </c>
      <c r="AG438" t="n">
        <v>0.00051905</v>
      </c>
      <c r="AH438" t="n">
        <v>0.00051905</v>
      </c>
      <c r="AI438" t="n">
        <v>0.00051905</v>
      </c>
    </row>
    <row r="439">
      <c r="A439" t="n">
        <v>100</v>
      </c>
      <c r="B439" s="13" t="n">
        <v>44835</v>
      </c>
      <c r="C439" s="13" t="n">
        <v>45657</v>
      </c>
      <c r="D439" s="13" t="n">
        <v>44835</v>
      </c>
      <c r="E439" t="n">
        <v>0</v>
      </c>
      <c r="F439" s="13" t="n">
        <v>45657</v>
      </c>
      <c r="G439" t="n">
        <v>0.00355</v>
      </c>
      <c r="H439" t="n">
        <v>0.00391</v>
      </c>
      <c r="I439" t="n">
        <v>0.00391</v>
      </c>
      <c r="J439" t="n">
        <v>0.00391</v>
      </c>
      <c r="K439" t="n">
        <v>0.00391</v>
      </c>
      <c r="L439" t="n">
        <v>0.00426</v>
      </c>
      <c r="M439" t="n">
        <v>0.00426</v>
      </c>
      <c r="N439" t="n">
        <v>0.00426</v>
      </c>
      <c r="O439" t="n">
        <v>0.00426</v>
      </c>
      <c r="P439" t="n">
        <v>0.00426</v>
      </c>
      <c r="Q439" t="n">
        <v>0.00426</v>
      </c>
      <c r="R439" t="n">
        <v>0.00426</v>
      </c>
      <c r="S439" t="n">
        <v>0.00426</v>
      </c>
      <c r="T439" t="n">
        <v>0.00426</v>
      </c>
      <c r="U439" t="n">
        <v>0.00426</v>
      </c>
      <c r="V439" t="n">
        <v>0.00426</v>
      </c>
      <c r="W439" t="n">
        <v>0.00426</v>
      </c>
      <c r="X439" t="n">
        <v>0.00497</v>
      </c>
      <c r="Y439" t="n">
        <v>0.00497</v>
      </c>
      <c r="Z439" t="n">
        <v>0.00497</v>
      </c>
      <c r="AA439" t="n">
        <v>0.00497</v>
      </c>
      <c r="AB439" t="n">
        <v>0.00497</v>
      </c>
      <c r="AC439" t="n">
        <v>0.00497</v>
      </c>
      <c r="AD439" t="n">
        <v>0.00497</v>
      </c>
      <c r="AE439" t="n">
        <v>0.00497</v>
      </c>
      <c r="AF439" t="n">
        <v>0.00497</v>
      </c>
      <c r="AG439" t="n">
        <v>0.00497</v>
      </c>
      <c r="AH439" t="n">
        <v>0.00497</v>
      </c>
      <c r="AI439" t="n">
        <v>0.00497</v>
      </c>
    </row>
    <row r="440">
      <c r="A440" t="n">
        <v>100</v>
      </c>
      <c r="B440" s="13" t="n">
        <v>45658</v>
      </c>
      <c r="C440" s="13" t="n">
        <v>46022</v>
      </c>
      <c r="D440" s="13" t="n">
        <v>45658</v>
      </c>
      <c r="E440" t="n">
        <v>0</v>
      </c>
      <c r="F440" s="13" t="n">
        <v>46022</v>
      </c>
      <c r="G440" t="n">
        <v>0.003675</v>
      </c>
      <c r="H440" t="n">
        <v>0.004042</v>
      </c>
      <c r="I440" t="n">
        <v>0.004042</v>
      </c>
      <c r="J440" t="n">
        <v>0.004042</v>
      </c>
      <c r="K440" t="n">
        <v>0.004042</v>
      </c>
      <c r="L440" t="n">
        <v>0.00441</v>
      </c>
      <c r="M440" t="n">
        <v>0.00441</v>
      </c>
      <c r="N440" t="n">
        <v>0.00441</v>
      </c>
      <c r="O440" t="n">
        <v>0.00441</v>
      </c>
      <c r="P440" t="n">
        <v>0.00441</v>
      </c>
      <c r="Q440" t="n">
        <v>0.00441</v>
      </c>
      <c r="R440" t="n">
        <v>0.00441</v>
      </c>
      <c r="S440" t="n">
        <v>0.00441</v>
      </c>
      <c r="T440" t="n">
        <v>0.00441</v>
      </c>
      <c r="U440" t="n">
        <v>0.00441</v>
      </c>
      <c r="V440" t="n">
        <v>0.00441</v>
      </c>
      <c r="W440" t="n">
        <v>0.00441</v>
      </c>
      <c r="X440" t="n">
        <v>0.005145</v>
      </c>
      <c r="Y440" t="n">
        <v>0.005145</v>
      </c>
      <c r="Z440" t="n">
        <v>0.005145</v>
      </c>
      <c r="AA440" t="n">
        <v>0.005145</v>
      </c>
      <c r="AB440" t="n">
        <v>0.005145</v>
      </c>
      <c r="AC440" t="n">
        <v>0.005145</v>
      </c>
      <c r="AD440" t="n">
        <v>0.005145</v>
      </c>
      <c r="AE440" t="n">
        <v>0.005145</v>
      </c>
      <c r="AF440" t="n">
        <v>0.005145</v>
      </c>
      <c r="AG440" t="n">
        <v>0.005145</v>
      </c>
      <c r="AH440" t="n">
        <v>0.005145</v>
      </c>
      <c r="AI440" t="n">
        <v>0.005145</v>
      </c>
    </row>
    <row r="441">
      <c r="A441" t="n">
        <v>100</v>
      </c>
      <c r="B441" s="13" t="n">
        <v>46023</v>
      </c>
      <c r="C441" s="13" t="n">
        <v>2958465</v>
      </c>
      <c r="D441" s="13" t="n">
        <v>46023</v>
      </c>
      <c r="E441" t="n">
        <v>1</v>
      </c>
      <c r="G441" t="n">
        <v>0.00367939</v>
      </c>
      <c r="H441" t="n">
        <v>0.00404733</v>
      </c>
      <c r="I441" t="n">
        <v>0.00404733</v>
      </c>
      <c r="J441" t="n">
        <v>0.00404733</v>
      </c>
      <c r="K441" t="n">
        <v>0.00404733</v>
      </c>
      <c r="L441" t="n">
        <v>0.00441527</v>
      </c>
      <c r="M441" t="n">
        <v>0.00441527</v>
      </c>
      <c r="N441" t="n">
        <v>0.00441527</v>
      </c>
      <c r="O441" t="n">
        <v>0.00441527</v>
      </c>
      <c r="P441" t="n">
        <v>0.00441527</v>
      </c>
      <c r="Q441" t="n">
        <v>0.00441527</v>
      </c>
      <c r="R441" t="n">
        <v>0.00441527</v>
      </c>
      <c r="S441" t="n">
        <v>0.00441527</v>
      </c>
      <c r="T441" t="n">
        <v>0.00441527</v>
      </c>
      <c r="U441" t="n">
        <v>0.00441527</v>
      </c>
      <c r="V441" t="n">
        <v>0.00441527</v>
      </c>
      <c r="W441" t="n">
        <v>0.00441527</v>
      </c>
      <c r="X441" t="n">
        <v>0.00515115</v>
      </c>
      <c r="Y441" t="n">
        <v>0.00515115</v>
      </c>
      <c r="Z441" t="n">
        <v>0.00515115</v>
      </c>
      <c r="AA441" t="n">
        <v>0.00515115</v>
      </c>
      <c r="AB441" t="n">
        <v>0.00515115</v>
      </c>
      <c r="AC441" t="n">
        <v>0.00515115</v>
      </c>
      <c r="AD441" t="n">
        <v>0.00515115</v>
      </c>
      <c r="AE441" t="n">
        <v>0.00515115</v>
      </c>
      <c r="AF441" t="n">
        <v>0.00515115</v>
      </c>
      <c r="AG441" t="n">
        <v>0.00515115</v>
      </c>
      <c r="AH441" t="n">
        <v>0.00515115</v>
      </c>
      <c r="AI441" t="n">
        <v>0.00515115</v>
      </c>
    </row>
    <row r="442">
      <c r="A442" t="n">
        <v>101</v>
      </c>
      <c r="B442" s="13" t="n">
        <v>44835</v>
      </c>
      <c r="C442" s="13" t="n">
        <v>45657</v>
      </c>
      <c r="D442" s="13" t="n">
        <v>44835</v>
      </c>
      <c r="E442" t="n">
        <v>0</v>
      </c>
      <c r="F442" s="13" t="n">
        <v>45657</v>
      </c>
      <c r="G442" t="n">
        <v>0.00147</v>
      </c>
      <c r="H442" t="n">
        <v>0.00162</v>
      </c>
      <c r="I442" t="n">
        <v>0.00162</v>
      </c>
      <c r="J442" t="n">
        <v>0.00162</v>
      </c>
      <c r="K442" t="n">
        <v>0.00162</v>
      </c>
      <c r="L442" t="n">
        <v>0.00177</v>
      </c>
      <c r="M442" t="n">
        <v>0.00177</v>
      </c>
      <c r="N442" t="n">
        <v>0.00177</v>
      </c>
      <c r="O442" t="n">
        <v>0.00177</v>
      </c>
      <c r="P442" t="n">
        <v>0.00177</v>
      </c>
      <c r="Q442" t="n">
        <v>0.00177</v>
      </c>
      <c r="R442" t="n">
        <v>0.00177</v>
      </c>
      <c r="S442" t="n">
        <v>0.00177</v>
      </c>
      <c r="T442" t="n">
        <v>0.00177</v>
      </c>
      <c r="U442" t="n">
        <v>0.00177</v>
      </c>
      <c r="V442" t="n">
        <v>0.00177</v>
      </c>
      <c r="W442" t="n">
        <v>0.00177</v>
      </c>
      <c r="X442" t="n">
        <v>0.00206</v>
      </c>
      <c r="Y442" t="n">
        <v>0.00206</v>
      </c>
      <c r="Z442" t="n">
        <v>0.00206</v>
      </c>
      <c r="AA442" t="n">
        <v>0.00206</v>
      </c>
      <c r="AB442" t="n">
        <v>0.00206</v>
      </c>
      <c r="AC442" t="n">
        <v>0.00206</v>
      </c>
      <c r="AD442" t="n">
        <v>0.00206</v>
      </c>
      <c r="AE442" t="n">
        <v>0.00206</v>
      </c>
      <c r="AF442" t="n">
        <v>0.00206</v>
      </c>
      <c r="AG442" t="n">
        <v>0.00206</v>
      </c>
      <c r="AH442" t="n">
        <v>0.00206</v>
      </c>
      <c r="AI442" t="n">
        <v>0.00206</v>
      </c>
    </row>
    <row r="443">
      <c r="A443" t="n">
        <v>101</v>
      </c>
      <c r="B443" s="13" t="n">
        <v>45658</v>
      </c>
      <c r="C443" s="13" t="n">
        <v>46022</v>
      </c>
      <c r="D443" s="13" t="n">
        <v>45658</v>
      </c>
      <c r="E443" t="n">
        <v>0</v>
      </c>
      <c r="F443" s="13" t="n">
        <v>46022</v>
      </c>
      <c r="G443" t="n">
        <v>0.001526</v>
      </c>
      <c r="H443" t="n">
        <v>0.001679</v>
      </c>
      <c r="I443" t="n">
        <v>0.001679</v>
      </c>
      <c r="J443" t="n">
        <v>0.001679</v>
      </c>
      <c r="K443" t="n">
        <v>0.001679</v>
      </c>
      <c r="L443" t="n">
        <v>0.001831</v>
      </c>
      <c r="M443" t="n">
        <v>0.001831</v>
      </c>
      <c r="N443" t="n">
        <v>0.001831</v>
      </c>
      <c r="O443" t="n">
        <v>0.001831</v>
      </c>
      <c r="P443" t="n">
        <v>0.001831</v>
      </c>
      <c r="Q443" t="n">
        <v>0.001831</v>
      </c>
      <c r="R443" t="n">
        <v>0.001831</v>
      </c>
      <c r="S443" t="n">
        <v>0.001831</v>
      </c>
      <c r="T443" t="n">
        <v>0.001831</v>
      </c>
      <c r="U443" t="n">
        <v>0.001831</v>
      </c>
      <c r="V443" t="n">
        <v>0.001831</v>
      </c>
      <c r="W443" t="n">
        <v>0.001831</v>
      </c>
      <c r="X443" t="n">
        <v>0.002136</v>
      </c>
      <c r="Y443" t="n">
        <v>0.002136</v>
      </c>
      <c r="Z443" t="n">
        <v>0.002136</v>
      </c>
      <c r="AA443" t="n">
        <v>0.002136</v>
      </c>
      <c r="AB443" t="n">
        <v>0.002136</v>
      </c>
      <c r="AC443" t="n">
        <v>0.002136</v>
      </c>
      <c r="AD443" t="n">
        <v>0.002136</v>
      </c>
      <c r="AE443" t="n">
        <v>0.002136</v>
      </c>
      <c r="AF443" t="n">
        <v>0.002136</v>
      </c>
      <c r="AG443" t="n">
        <v>0.002136</v>
      </c>
      <c r="AH443" t="n">
        <v>0.002136</v>
      </c>
      <c r="AI443" t="n">
        <v>0.002136</v>
      </c>
    </row>
    <row r="444">
      <c r="A444" t="n">
        <v>101</v>
      </c>
      <c r="B444" s="13" t="n">
        <v>46023</v>
      </c>
      <c r="C444" s="13" t="n">
        <v>2958465</v>
      </c>
      <c r="D444" s="13" t="n">
        <v>46023</v>
      </c>
      <c r="E444" t="n">
        <v>1</v>
      </c>
      <c r="G444" t="n">
        <v>0.00152787</v>
      </c>
      <c r="H444" t="n">
        <v>0.00168066</v>
      </c>
      <c r="I444" t="n">
        <v>0.00168066</v>
      </c>
      <c r="J444" t="n">
        <v>0.00168066</v>
      </c>
      <c r="K444" t="n">
        <v>0.00168066</v>
      </c>
      <c r="L444" t="n">
        <v>0.00183345</v>
      </c>
      <c r="M444" t="n">
        <v>0.00183345</v>
      </c>
      <c r="N444" t="n">
        <v>0.00183345</v>
      </c>
      <c r="O444" t="n">
        <v>0.00183345</v>
      </c>
      <c r="P444" t="n">
        <v>0.00183345</v>
      </c>
      <c r="Q444" t="n">
        <v>0.00183345</v>
      </c>
      <c r="R444" t="n">
        <v>0.00183345</v>
      </c>
      <c r="S444" t="n">
        <v>0.00183345</v>
      </c>
      <c r="T444" t="n">
        <v>0.00183345</v>
      </c>
      <c r="U444" t="n">
        <v>0.00183345</v>
      </c>
      <c r="V444" t="n">
        <v>0.00183345</v>
      </c>
      <c r="W444" t="n">
        <v>0.00183345</v>
      </c>
      <c r="X444" t="n">
        <v>0.00213902</v>
      </c>
      <c r="Y444" t="n">
        <v>0.00213902</v>
      </c>
      <c r="Z444" t="n">
        <v>0.00213902</v>
      </c>
      <c r="AA444" t="n">
        <v>0.00213902</v>
      </c>
      <c r="AB444" t="n">
        <v>0.00213902</v>
      </c>
      <c r="AC444" t="n">
        <v>0.00213902</v>
      </c>
      <c r="AD444" t="n">
        <v>0.00213902</v>
      </c>
      <c r="AE444" t="n">
        <v>0.00213902</v>
      </c>
      <c r="AF444" t="n">
        <v>0.00213902</v>
      </c>
      <c r="AG444" t="n">
        <v>0.00213902</v>
      </c>
      <c r="AH444" t="n">
        <v>0.00213902</v>
      </c>
      <c r="AI444" t="n">
        <v>0.00213902</v>
      </c>
    </row>
    <row r="445">
      <c r="A445" t="n">
        <v>102</v>
      </c>
      <c r="B445" s="13" t="n">
        <v>44197</v>
      </c>
      <c r="C445" s="13" t="n">
        <v>45657</v>
      </c>
      <c r="D445" s="13" t="n">
        <v>44197</v>
      </c>
      <c r="E445" t="n">
        <v>0</v>
      </c>
      <c r="F445" s="13" t="n">
        <v>45657</v>
      </c>
      <c r="G445" t="n">
        <v>0.97</v>
      </c>
      <c r="H445" t="n">
        <v>0.27811</v>
      </c>
      <c r="I445" t="n">
        <v>0.27811</v>
      </c>
      <c r="J445" t="n">
        <v>0.27811</v>
      </c>
      <c r="K445" t="n">
        <v>0.27811</v>
      </c>
      <c r="L445" t="n">
        <v>0.1071</v>
      </c>
      <c r="M445" t="n">
        <v>0.09673</v>
      </c>
      <c r="N445" t="n">
        <v>0.1071</v>
      </c>
      <c r="O445" t="n">
        <v>0.10364</v>
      </c>
      <c r="P445" t="n">
        <v>0.1071</v>
      </c>
      <c r="Q445" t="n">
        <v>0.10364</v>
      </c>
      <c r="R445" t="n">
        <v>0.1071</v>
      </c>
      <c r="S445" t="n">
        <v>0.1071</v>
      </c>
      <c r="T445" t="n">
        <v>0.10364</v>
      </c>
      <c r="U445" t="n">
        <v>0.1071</v>
      </c>
      <c r="V445" t="n">
        <v>0.10364</v>
      </c>
      <c r="W445" t="n">
        <v>0.1071</v>
      </c>
      <c r="X445" t="n">
        <v>0.00399</v>
      </c>
      <c r="Y445" t="n">
        <v>0.00399</v>
      </c>
      <c r="Z445" t="n">
        <v>0.00399</v>
      </c>
      <c r="AA445" t="n">
        <v>0.00399</v>
      </c>
      <c r="AB445" t="n">
        <v>0.00399</v>
      </c>
      <c r="AC445" t="n">
        <v>0.00399</v>
      </c>
      <c r="AD445" t="n">
        <v>0.00399</v>
      </c>
      <c r="AE445" t="n">
        <v>0.00399</v>
      </c>
      <c r="AF445" t="n">
        <v>0.00399</v>
      </c>
      <c r="AG445" t="n">
        <v>0.00399</v>
      </c>
      <c r="AH445" t="n">
        <v>0.00399</v>
      </c>
      <c r="AI445" t="n">
        <v>0.00399</v>
      </c>
    </row>
    <row r="446">
      <c r="A446" t="n">
        <v>102</v>
      </c>
      <c r="B446" s="13" t="n">
        <v>45658</v>
      </c>
      <c r="C446" s="13" t="n">
        <v>46022</v>
      </c>
      <c r="D446" s="13" t="n">
        <v>45658</v>
      </c>
      <c r="E446" t="n">
        <v>0</v>
      </c>
      <c r="F446" s="13" t="n">
        <v>46022</v>
      </c>
      <c r="G446" t="n">
        <v>1.37</v>
      </c>
      <c r="H446" t="n">
        <v>0.426952</v>
      </c>
      <c r="I446" t="n">
        <v>0.426952</v>
      </c>
      <c r="J446" t="n">
        <v>0.426952</v>
      </c>
      <c r="K446" t="n">
        <v>0.426952</v>
      </c>
      <c r="L446" t="n">
        <v>0.174534</v>
      </c>
      <c r="M446" t="n">
        <v>0.174534</v>
      </c>
      <c r="N446" t="n">
        <v>0.174534</v>
      </c>
      <c r="O446" t="n">
        <v>0.174534</v>
      </c>
      <c r="P446" t="n">
        <v>0.174534</v>
      </c>
      <c r="Q446" t="n">
        <v>0.174534</v>
      </c>
      <c r="R446" t="n">
        <v>0.174534</v>
      </c>
      <c r="S446" t="n">
        <v>0.174534</v>
      </c>
      <c r="T446" t="n">
        <v>0.174534</v>
      </c>
      <c r="U446" t="n">
        <v>0.174534</v>
      </c>
      <c r="V446" t="n">
        <v>0.174534</v>
      </c>
      <c r="W446" t="n">
        <v>0.174534</v>
      </c>
      <c r="X446" t="n">
        <v>0.007507</v>
      </c>
      <c r="Y446" t="n">
        <v>0.007507</v>
      </c>
      <c r="Z446" t="n">
        <v>0.007507</v>
      </c>
      <c r="AA446" t="n">
        <v>0.007507</v>
      </c>
      <c r="AB446" t="n">
        <v>0.007507</v>
      </c>
      <c r="AC446" t="n">
        <v>0.007507</v>
      </c>
      <c r="AD446" t="n">
        <v>0.007507</v>
      </c>
      <c r="AE446" t="n">
        <v>0.007507</v>
      </c>
      <c r="AF446" t="n">
        <v>0.007507</v>
      </c>
      <c r="AG446" t="n">
        <v>0.007507</v>
      </c>
      <c r="AH446" t="n">
        <v>0.007507</v>
      </c>
      <c r="AI446" t="n">
        <v>0.007507</v>
      </c>
    </row>
    <row r="447">
      <c r="A447" t="n">
        <v>102</v>
      </c>
      <c r="B447" s="13" t="n">
        <v>46023</v>
      </c>
      <c r="C447" s="13" t="n">
        <v>46387</v>
      </c>
      <c r="D447" s="13" t="n">
        <v>46023</v>
      </c>
      <c r="E447" t="n">
        <v>0</v>
      </c>
      <c r="F447" s="13" t="n">
        <v>46387</v>
      </c>
      <c r="G447" t="n">
        <v>2.77</v>
      </c>
      <c r="H447" t="n">
        <v>0.863253</v>
      </c>
      <c r="I447" t="n">
        <v>0.863253</v>
      </c>
      <c r="J447" t="n">
        <v>0.863253</v>
      </c>
      <c r="K447" t="n">
        <v>0.863253</v>
      </c>
      <c r="L447" t="n">
        <v>0.35289</v>
      </c>
      <c r="M447" t="n">
        <v>0.35289</v>
      </c>
      <c r="N447" t="n">
        <v>0.35289</v>
      </c>
      <c r="O447" t="n">
        <v>0.35289</v>
      </c>
      <c r="P447" t="n">
        <v>0.35289</v>
      </c>
      <c r="Q447" t="n">
        <v>0.35289</v>
      </c>
      <c r="R447" t="n">
        <v>0.35289</v>
      </c>
      <c r="S447" t="n">
        <v>0.35289</v>
      </c>
      <c r="T447" t="n">
        <v>0.35289</v>
      </c>
      <c r="U447" t="n">
        <v>0.35289</v>
      </c>
      <c r="V447" t="n">
        <v>0.35289</v>
      </c>
      <c r="W447" t="n">
        <v>0.35289</v>
      </c>
      <c r="X447" t="n">
        <v>0.015178</v>
      </c>
      <c r="Y447" t="n">
        <v>0.015178</v>
      </c>
      <c r="Z447" t="n">
        <v>0.015178</v>
      </c>
      <c r="AA447" t="n">
        <v>0.015178</v>
      </c>
      <c r="AB447" t="n">
        <v>0.015178</v>
      </c>
      <c r="AC447" t="n">
        <v>0.015178</v>
      </c>
      <c r="AD447" t="n">
        <v>0.015178</v>
      </c>
      <c r="AE447" t="n">
        <v>0.015178</v>
      </c>
      <c r="AF447" t="n">
        <v>0.015178</v>
      </c>
      <c r="AG447" t="n">
        <v>0.015178</v>
      </c>
      <c r="AH447" t="n">
        <v>0.015178</v>
      </c>
      <c r="AI447" t="n">
        <v>0.015178</v>
      </c>
    </row>
    <row r="448">
      <c r="A448" t="n">
        <v>102</v>
      </c>
      <c r="B448" s="13" t="n">
        <v>46388</v>
      </c>
      <c r="C448" s="13" t="n">
        <v>2958465</v>
      </c>
      <c r="D448" s="13" t="n">
        <v>46388</v>
      </c>
      <c r="E448" t="n">
        <v>1</v>
      </c>
      <c r="G448" t="n">
        <v>2.76</v>
      </c>
      <c r="H448" t="n">
        <v>0.86013699</v>
      </c>
      <c r="I448" t="n">
        <v>0.86013699</v>
      </c>
      <c r="J448" t="n">
        <v>0.86013699</v>
      </c>
      <c r="K448" t="n">
        <v>0.86013699</v>
      </c>
      <c r="L448" t="n">
        <v>0.35161644</v>
      </c>
      <c r="M448" t="n">
        <v>0.35161644</v>
      </c>
      <c r="N448" t="n">
        <v>0.35161644</v>
      </c>
      <c r="O448" t="n">
        <v>0.35161644</v>
      </c>
      <c r="P448" t="n">
        <v>0.35161644</v>
      </c>
      <c r="Q448" t="n">
        <v>0.35161644</v>
      </c>
      <c r="R448" t="n">
        <v>0.35161644</v>
      </c>
      <c r="S448" t="n">
        <v>0.35161644</v>
      </c>
      <c r="T448" t="n">
        <v>0.35161644</v>
      </c>
      <c r="U448" t="n">
        <v>0.35161644</v>
      </c>
      <c r="V448" t="n">
        <v>0.35161644</v>
      </c>
      <c r="W448" t="n">
        <v>0.35161644</v>
      </c>
      <c r="X448" t="n">
        <v>0.01512329</v>
      </c>
      <c r="Y448" t="n">
        <v>0.01512329</v>
      </c>
      <c r="Z448" t="n">
        <v>0.01512329</v>
      </c>
      <c r="AA448" t="n">
        <v>0.01512329</v>
      </c>
      <c r="AB448" t="n">
        <v>0.01512329</v>
      </c>
      <c r="AC448" t="n">
        <v>0.01512329</v>
      </c>
      <c r="AD448" t="n">
        <v>0.01512329</v>
      </c>
      <c r="AE448" t="n">
        <v>0.01512329</v>
      </c>
      <c r="AF448" t="n">
        <v>0.01512329</v>
      </c>
      <c r="AG448" t="n">
        <v>0.01512329</v>
      </c>
      <c r="AH448" t="n">
        <v>0.01512329</v>
      </c>
      <c r="AI448" t="n">
        <v>0.01512329</v>
      </c>
    </row>
    <row r="449">
      <c r="A449" t="n">
        <v>103</v>
      </c>
      <c r="B449" s="13" t="n">
        <v>44197</v>
      </c>
      <c r="C449" s="13" t="n">
        <v>45657</v>
      </c>
      <c r="D449" s="13" t="n">
        <v>44197</v>
      </c>
      <c r="E449" t="n">
        <v>0</v>
      </c>
      <c r="F449" s="13" t="n">
        <v>45657</v>
      </c>
      <c r="G449" t="n">
        <v>4.35</v>
      </c>
      <c r="H449" t="n">
        <v>1.2472</v>
      </c>
      <c r="I449" t="n">
        <v>1.2472</v>
      </c>
      <c r="J449" t="n">
        <v>1.2472</v>
      </c>
      <c r="K449" t="n">
        <v>1.2472</v>
      </c>
      <c r="L449" t="n">
        <v>0.48029</v>
      </c>
      <c r="M449" t="n">
        <v>0.43381</v>
      </c>
      <c r="N449" t="n">
        <v>0.48029</v>
      </c>
      <c r="O449" t="n">
        <v>0.46479</v>
      </c>
      <c r="P449" t="n">
        <v>0.48029</v>
      </c>
      <c r="Q449" t="n">
        <v>0.46479</v>
      </c>
      <c r="R449" t="n">
        <v>0.48029</v>
      </c>
      <c r="S449" t="n">
        <v>0.48029</v>
      </c>
      <c r="T449" t="n">
        <v>0.46479</v>
      </c>
      <c r="U449" t="n">
        <v>0.48029</v>
      </c>
      <c r="V449" t="n">
        <v>0.46479</v>
      </c>
      <c r="W449" t="n">
        <v>0.48029</v>
      </c>
      <c r="X449" t="n">
        <v>0.01788</v>
      </c>
      <c r="Y449" t="n">
        <v>0.01788</v>
      </c>
      <c r="Z449" t="n">
        <v>0.01788</v>
      </c>
      <c r="AA449" t="n">
        <v>0.01788</v>
      </c>
      <c r="AB449" t="n">
        <v>0.01788</v>
      </c>
      <c r="AC449" t="n">
        <v>0.01788</v>
      </c>
      <c r="AD449" t="n">
        <v>0.01788</v>
      </c>
      <c r="AE449" t="n">
        <v>0.01788</v>
      </c>
      <c r="AF449" t="n">
        <v>0.01788</v>
      </c>
      <c r="AG449" t="n">
        <v>0.01788</v>
      </c>
      <c r="AH449" t="n">
        <v>0.01788</v>
      </c>
      <c r="AI449" t="n">
        <v>0.01788</v>
      </c>
    </row>
    <row r="450">
      <c r="A450" t="n">
        <v>103</v>
      </c>
      <c r="B450" s="13" t="n">
        <v>45658</v>
      </c>
      <c r="C450" s="13" t="n">
        <v>46022</v>
      </c>
      <c r="D450" s="13" t="n">
        <v>45658</v>
      </c>
      <c r="E450" t="n">
        <v>0</v>
      </c>
      <c r="F450" s="13" t="n">
        <v>46022</v>
      </c>
      <c r="G450" t="n">
        <v>5.98</v>
      </c>
      <c r="H450" t="n">
        <v>1.86363</v>
      </c>
      <c r="I450" t="n">
        <v>1.86363</v>
      </c>
      <c r="J450" t="n">
        <v>1.86363</v>
      </c>
      <c r="K450" t="n">
        <v>1.86363</v>
      </c>
      <c r="L450" t="n">
        <v>0.761836</v>
      </c>
      <c r="M450" t="n">
        <v>0.761836</v>
      </c>
      <c r="N450" t="n">
        <v>0.761836</v>
      </c>
      <c r="O450" t="n">
        <v>0.761836</v>
      </c>
      <c r="P450" t="n">
        <v>0.761836</v>
      </c>
      <c r="Q450" t="n">
        <v>0.761836</v>
      </c>
      <c r="R450" t="n">
        <v>0.761836</v>
      </c>
      <c r="S450" t="n">
        <v>0.761836</v>
      </c>
      <c r="T450" t="n">
        <v>0.761836</v>
      </c>
      <c r="U450" t="n">
        <v>0.761836</v>
      </c>
      <c r="V450" t="n">
        <v>0.761836</v>
      </c>
      <c r="W450" t="n">
        <v>0.761836</v>
      </c>
      <c r="X450" t="n">
        <v>0.032767</v>
      </c>
      <c r="Y450" t="n">
        <v>0.032767</v>
      </c>
      <c r="Z450" t="n">
        <v>0.032767</v>
      </c>
      <c r="AA450" t="n">
        <v>0.032767</v>
      </c>
      <c r="AB450" t="n">
        <v>0.032767</v>
      </c>
      <c r="AC450" t="n">
        <v>0.032767</v>
      </c>
      <c r="AD450" t="n">
        <v>0.032767</v>
      </c>
      <c r="AE450" t="n">
        <v>0.032767</v>
      </c>
      <c r="AF450" t="n">
        <v>0.032767</v>
      </c>
      <c r="AG450" t="n">
        <v>0.032767</v>
      </c>
      <c r="AH450" t="n">
        <v>0.032767</v>
      </c>
      <c r="AI450" t="n">
        <v>0.032767</v>
      </c>
    </row>
    <row r="451">
      <c r="A451" t="n">
        <v>103</v>
      </c>
      <c r="B451" s="13" t="n">
        <v>46023</v>
      </c>
      <c r="C451" s="13" t="n">
        <v>46387</v>
      </c>
      <c r="D451" s="13" t="n">
        <v>46023</v>
      </c>
      <c r="E451" t="n">
        <v>0</v>
      </c>
      <c r="F451" s="13" t="n">
        <v>46387</v>
      </c>
      <c r="G451" t="n">
        <v>10.52</v>
      </c>
      <c r="H451" t="n">
        <v>3.278493</v>
      </c>
      <c r="I451" t="n">
        <v>3.278493</v>
      </c>
      <c r="J451" t="n">
        <v>3.278493</v>
      </c>
      <c r="K451" t="n">
        <v>3.278493</v>
      </c>
      <c r="L451" t="n">
        <v>1.340219</v>
      </c>
      <c r="M451" t="n">
        <v>1.340219</v>
      </c>
      <c r="N451" t="n">
        <v>1.340219</v>
      </c>
      <c r="O451" t="n">
        <v>1.340219</v>
      </c>
      <c r="P451" t="n">
        <v>1.340219</v>
      </c>
      <c r="Q451" t="n">
        <v>1.340219</v>
      </c>
      <c r="R451" t="n">
        <v>1.340219</v>
      </c>
      <c r="S451" t="n">
        <v>1.340219</v>
      </c>
      <c r="T451" t="n">
        <v>1.340219</v>
      </c>
      <c r="U451" t="n">
        <v>1.340219</v>
      </c>
      <c r="V451" t="n">
        <v>1.340219</v>
      </c>
      <c r="W451" t="n">
        <v>1.340219</v>
      </c>
      <c r="X451" t="n">
        <v>0.057644</v>
      </c>
      <c r="Y451" t="n">
        <v>0.057644</v>
      </c>
      <c r="Z451" t="n">
        <v>0.057644</v>
      </c>
      <c r="AA451" t="n">
        <v>0.057644</v>
      </c>
      <c r="AB451" t="n">
        <v>0.057644</v>
      </c>
      <c r="AC451" t="n">
        <v>0.057644</v>
      </c>
      <c r="AD451" t="n">
        <v>0.057644</v>
      </c>
      <c r="AE451" t="n">
        <v>0.057644</v>
      </c>
      <c r="AF451" t="n">
        <v>0.057644</v>
      </c>
      <c r="AG451" t="n">
        <v>0.057644</v>
      </c>
      <c r="AH451" t="n">
        <v>0.057644</v>
      </c>
      <c r="AI451" t="n">
        <v>0.057644</v>
      </c>
    </row>
    <row r="452">
      <c r="A452" t="n">
        <v>103</v>
      </c>
      <c r="B452" s="13" t="n">
        <v>46388</v>
      </c>
      <c r="C452" s="13" t="n">
        <v>2958465</v>
      </c>
      <c r="D452" s="13" t="n">
        <v>46388</v>
      </c>
      <c r="E452" t="n">
        <v>1</v>
      </c>
      <c r="G452" t="n">
        <v>10.99</v>
      </c>
      <c r="H452" t="n">
        <v>3.42496575</v>
      </c>
      <c r="I452" t="n">
        <v>3.42496575</v>
      </c>
      <c r="J452" t="n">
        <v>3.42496575</v>
      </c>
      <c r="K452" t="n">
        <v>3.42496575</v>
      </c>
      <c r="L452" t="n">
        <v>1.40009589</v>
      </c>
      <c r="M452" t="n">
        <v>1.40009589</v>
      </c>
      <c r="N452" t="n">
        <v>1.40009589</v>
      </c>
      <c r="O452" t="n">
        <v>1.40009589</v>
      </c>
      <c r="P452" t="n">
        <v>1.40009589</v>
      </c>
      <c r="Q452" t="n">
        <v>1.40009589</v>
      </c>
      <c r="R452" t="n">
        <v>1.40009589</v>
      </c>
      <c r="S452" t="n">
        <v>1.40009589</v>
      </c>
      <c r="T452" t="n">
        <v>1.40009589</v>
      </c>
      <c r="U452" t="n">
        <v>1.40009589</v>
      </c>
      <c r="V452" t="n">
        <v>1.40009589</v>
      </c>
      <c r="W452" t="n">
        <v>1.40009589</v>
      </c>
      <c r="X452" t="n">
        <v>0.06021918</v>
      </c>
      <c r="Y452" t="n">
        <v>0.06021918</v>
      </c>
      <c r="Z452" t="n">
        <v>0.06021918</v>
      </c>
      <c r="AA452" t="n">
        <v>0.06021918</v>
      </c>
      <c r="AB452" t="n">
        <v>0.06021918</v>
      </c>
      <c r="AC452" t="n">
        <v>0.06021918</v>
      </c>
      <c r="AD452" t="n">
        <v>0.06021918</v>
      </c>
      <c r="AE452" t="n">
        <v>0.06021918</v>
      </c>
      <c r="AF452" t="n">
        <v>0.06021918</v>
      </c>
      <c r="AG452" t="n">
        <v>0.06021918</v>
      </c>
      <c r="AH452" t="n">
        <v>0.06021918</v>
      </c>
      <c r="AI452" t="n">
        <v>0.06021918</v>
      </c>
    </row>
    <row r="453">
      <c r="A453" t="n">
        <v>104</v>
      </c>
      <c r="B453" s="13" t="n">
        <v>45566</v>
      </c>
      <c r="C453" s="13" t="n">
        <v>45930</v>
      </c>
      <c r="D453" s="13" t="n">
        <v>45566</v>
      </c>
      <c r="E453" t="n">
        <v>0</v>
      </c>
      <c r="F453" s="13" t="n">
        <v>45930</v>
      </c>
      <c r="G453" t="n">
        <v>43.0554</v>
      </c>
      <c r="H453" t="n">
        <v>20.4768</v>
      </c>
      <c r="I453" t="n">
        <v>9.860760000000001</v>
      </c>
      <c r="J453" t="n">
        <v>9.4392</v>
      </c>
      <c r="K453" t="n">
        <v>16.047744</v>
      </c>
      <c r="L453" t="n">
        <v>10.85124</v>
      </c>
      <c r="M453" t="n">
        <v>6.895392</v>
      </c>
      <c r="N453" t="n">
        <v>5.883552</v>
      </c>
      <c r="O453" t="n">
        <v>4.56264</v>
      </c>
      <c r="P453" t="n">
        <v>3.984864</v>
      </c>
      <c r="Q453" t="n">
        <v>2.79648</v>
      </c>
      <c r="R453" t="n">
        <v>3.50796</v>
      </c>
      <c r="S453" t="n">
        <v>4.163424</v>
      </c>
      <c r="T453" t="n">
        <v>3.2508</v>
      </c>
      <c r="U453" t="n">
        <v>4.490784</v>
      </c>
      <c r="V453" t="n">
        <v>5.51376</v>
      </c>
      <c r="W453" t="n">
        <v>8.550048</v>
      </c>
      <c r="X453" t="n">
        <v>0.701304</v>
      </c>
      <c r="Y453" t="n">
        <v>0.491568</v>
      </c>
      <c r="Z453" t="n">
        <v>0.379608</v>
      </c>
      <c r="AA453" t="n">
        <v>0.304152</v>
      </c>
      <c r="AB453" t="n">
        <v>0.258264</v>
      </c>
      <c r="AC453" t="n">
        <v>0.186192</v>
      </c>
      <c r="AD453" t="n">
        <v>0.22632</v>
      </c>
      <c r="AE453" t="n">
        <v>0.270048</v>
      </c>
      <c r="AF453" t="n">
        <v>0.21696</v>
      </c>
      <c r="AG453" t="n">
        <v>0.289992</v>
      </c>
      <c r="AH453" t="n">
        <v>0.369024</v>
      </c>
      <c r="AI453" t="n">
        <v>0.552816</v>
      </c>
    </row>
    <row r="454">
      <c r="A454" t="n">
        <v>104</v>
      </c>
      <c r="B454" s="13" t="n">
        <v>45931</v>
      </c>
      <c r="C454" s="13" t="n">
        <v>46295</v>
      </c>
      <c r="D454" s="13" t="n">
        <v>45931</v>
      </c>
      <c r="E454" t="n">
        <v>0</v>
      </c>
      <c r="F454" s="13" t="n">
        <v>46295</v>
      </c>
      <c r="G454" t="n">
        <v>43.143</v>
      </c>
      <c r="H454" t="n">
        <v>15.41808</v>
      </c>
      <c r="I454" t="n">
        <v>13.226304</v>
      </c>
      <c r="J454" t="n">
        <v>12.930048</v>
      </c>
      <c r="K454" t="n">
        <v>14.345376</v>
      </c>
      <c r="L454" t="n">
        <v>6.882</v>
      </c>
      <c r="M454" t="n">
        <v>5.361216</v>
      </c>
      <c r="N454" t="n">
        <v>5.533872</v>
      </c>
      <c r="O454" t="n">
        <v>5.31936</v>
      </c>
      <c r="P454" t="n">
        <v>5.347872</v>
      </c>
      <c r="Q454" t="n">
        <v>4.64184</v>
      </c>
      <c r="R454" t="n">
        <v>4.982568</v>
      </c>
      <c r="S454" t="n">
        <v>5.310672</v>
      </c>
      <c r="T454" t="n">
        <v>4.67784</v>
      </c>
      <c r="U454" t="n">
        <v>4.722168</v>
      </c>
      <c r="V454" t="n">
        <v>5.52816</v>
      </c>
      <c r="W454" t="n">
        <v>6.338136</v>
      </c>
      <c r="X454" t="n">
        <v>0.44544</v>
      </c>
      <c r="Y454" t="n">
        <v>0.383928</v>
      </c>
      <c r="Z454" t="n">
        <v>0.357984</v>
      </c>
      <c r="AA454" t="n">
        <v>0.354384</v>
      </c>
      <c r="AB454" t="n">
        <v>0.345</v>
      </c>
      <c r="AC454" t="n">
        <v>0.309456</v>
      </c>
      <c r="AD454" t="n">
        <v>0.321456</v>
      </c>
      <c r="AE454" t="n">
        <v>0.3426</v>
      </c>
      <c r="AF454" t="n">
        <v>0.311856</v>
      </c>
      <c r="AG454" t="n">
        <v>0.303672</v>
      </c>
      <c r="AH454" t="n">
        <v>0.369744</v>
      </c>
      <c r="AI454" t="n">
        <v>0.408672</v>
      </c>
    </row>
    <row r="455">
      <c r="A455" t="n">
        <v>104</v>
      </c>
      <c r="B455" s="13" t="n">
        <v>46296</v>
      </c>
      <c r="C455" s="13" t="n">
        <v>2958465</v>
      </c>
      <c r="D455" s="13" t="n">
        <v>46296</v>
      </c>
      <c r="E455" t="n">
        <v>1</v>
      </c>
      <c r="G455" t="n">
        <v>39.1134</v>
      </c>
      <c r="H455" t="n">
        <v>12.54096</v>
      </c>
      <c r="I455" t="n">
        <v>12.680304</v>
      </c>
      <c r="J455" t="n">
        <v>12.819648</v>
      </c>
      <c r="K455" t="n">
        <v>12.819648</v>
      </c>
      <c r="L455" t="n">
        <v>4.982568</v>
      </c>
      <c r="M455" t="n">
        <v>4.500384</v>
      </c>
      <c r="N455" t="n">
        <v>4.982568</v>
      </c>
      <c r="O455" t="n">
        <v>4.82184</v>
      </c>
      <c r="P455" t="n">
        <v>4.982568</v>
      </c>
      <c r="Q455" t="n">
        <v>4.82184</v>
      </c>
      <c r="R455" t="n">
        <v>4.982568</v>
      </c>
      <c r="S455" t="n">
        <v>4.982568</v>
      </c>
      <c r="T455" t="n">
        <v>4.82184</v>
      </c>
      <c r="U455" t="n">
        <v>4.982568</v>
      </c>
      <c r="V455" t="n">
        <v>4.82184</v>
      </c>
      <c r="W455" t="n">
        <v>4.982568</v>
      </c>
      <c r="X455" t="n">
        <v>0.214296</v>
      </c>
      <c r="Y455" t="n">
        <v>0.214296</v>
      </c>
      <c r="Z455" t="n">
        <v>0.214296</v>
      </c>
      <c r="AA455" t="n">
        <v>0.214296</v>
      </c>
      <c r="AB455" t="n">
        <v>0.214296</v>
      </c>
      <c r="AC455" t="n">
        <v>0.214296</v>
      </c>
      <c r="AD455" t="n">
        <v>0.214296</v>
      </c>
      <c r="AE455" t="n">
        <v>0.214296</v>
      </c>
      <c r="AF455" t="n">
        <v>0.214296</v>
      </c>
      <c r="AG455" t="n">
        <v>0.214296</v>
      </c>
      <c r="AH455" t="n">
        <v>0.214296</v>
      </c>
      <c r="AI455" t="n">
        <v>0.214296</v>
      </c>
    </row>
    <row r="456">
      <c r="A456" t="n">
        <v>105</v>
      </c>
      <c r="B456" s="13" t="n">
        <v>45566</v>
      </c>
      <c r="C456" s="13" t="n">
        <v>45930</v>
      </c>
      <c r="D456" s="13" t="n">
        <v>45566</v>
      </c>
      <c r="E456" t="n">
        <v>0</v>
      </c>
      <c r="F456" s="13" t="n">
        <v>45930</v>
      </c>
      <c r="G456" t="n">
        <v>43.0554</v>
      </c>
      <c r="H456" t="n">
        <v>20.4768</v>
      </c>
      <c r="I456" t="n">
        <v>9.860760000000001</v>
      </c>
      <c r="J456" t="n">
        <v>9.4392</v>
      </c>
      <c r="K456" t="n">
        <v>16.047744</v>
      </c>
      <c r="L456" t="n">
        <v>10.85124</v>
      </c>
      <c r="M456" t="n">
        <v>6.895392</v>
      </c>
      <c r="N456" t="n">
        <v>5.883552</v>
      </c>
      <c r="O456" t="n">
        <v>4.56264</v>
      </c>
      <c r="P456" t="n">
        <v>3.984864</v>
      </c>
      <c r="Q456" t="n">
        <v>2.79648</v>
      </c>
      <c r="R456" t="n">
        <v>3.50796</v>
      </c>
      <c r="S456" t="n">
        <v>4.163424</v>
      </c>
      <c r="T456" t="n">
        <v>3.2508</v>
      </c>
      <c r="U456" t="n">
        <v>4.490784</v>
      </c>
      <c r="V456" t="n">
        <v>5.51376</v>
      </c>
      <c r="W456" t="n">
        <v>8.550048</v>
      </c>
      <c r="X456" t="n">
        <v>0.701304</v>
      </c>
      <c r="Y456" t="n">
        <v>0.491568</v>
      </c>
      <c r="Z456" t="n">
        <v>0.379608</v>
      </c>
      <c r="AA456" t="n">
        <v>0.304152</v>
      </c>
      <c r="AB456" t="n">
        <v>0.258264</v>
      </c>
      <c r="AC456" t="n">
        <v>0.186192</v>
      </c>
      <c r="AD456" t="n">
        <v>0.22632</v>
      </c>
      <c r="AE456" t="n">
        <v>0.270048</v>
      </c>
      <c r="AF456" t="n">
        <v>0.21696</v>
      </c>
      <c r="AG456" t="n">
        <v>0.289992</v>
      </c>
      <c r="AH456" t="n">
        <v>0.369024</v>
      </c>
      <c r="AI456" t="n">
        <v>0.552816</v>
      </c>
    </row>
    <row r="457">
      <c r="A457" t="n">
        <v>105</v>
      </c>
      <c r="B457" s="13" t="n">
        <v>45931</v>
      </c>
      <c r="C457" s="13" t="n">
        <v>46295</v>
      </c>
      <c r="D457" s="13" t="n">
        <v>45931</v>
      </c>
      <c r="E457" t="n">
        <v>0</v>
      </c>
      <c r="F457" s="13" t="n">
        <v>46295</v>
      </c>
      <c r="G457" t="n">
        <v>43.143</v>
      </c>
      <c r="H457" t="n">
        <v>15.41808</v>
      </c>
      <c r="I457" t="n">
        <v>13.226304</v>
      </c>
      <c r="J457" t="n">
        <v>12.930048</v>
      </c>
      <c r="K457" t="n">
        <v>14.345376</v>
      </c>
      <c r="L457" t="n">
        <v>6.882</v>
      </c>
      <c r="M457" t="n">
        <v>5.361216</v>
      </c>
      <c r="N457" t="n">
        <v>5.533872</v>
      </c>
      <c r="O457" t="n">
        <v>5.31936</v>
      </c>
      <c r="P457" t="n">
        <v>5.347872</v>
      </c>
      <c r="Q457" t="n">
        <v>4.64184</v>
      </c>
      <c r="R457" t="n">
        <v>4.982568</v>
      </c>
      <c r="S457" t="n">
        <v>5.310672</v>
      </c>
      <c r="T457" t="n">
        <v>4.67784</v>
      </c>
      <c r="U457" t="n">
        <v>4.722168</v>
      </c>
      <c r="V457" t="n">
        <v>5.52816</v>
      </c>
      <c r="W457" t="n">
        <v>6.338136</v>
      </c>
      <c r="X457" t="n">
        <v>0.44544</v>
      </c>
      <c r="Y457" t="n">
        <v>0.383928</v>
      </c>
      <c r="Z457" t="n">
        <v>0.357984</v>
      </c>
      <c r="AA457" t="n">
        <v>0.354384</v>
      </c>
      <c r="AB457" t="n">
        <v>0.345</v>
      </c>
      <c r="AC457" t="n">
        <v>0.309456</v>
      </c>
      <c r="AD457" t="n">
        <v>0.321456</v>
      </c>
      <c r="AE457" t="n">
        <v>0.3426</v>
      </c>
      <c r="AF457" t="n">
        <v>0.311856</v>
      </c>
      <c r="AG457" t="n">
        <v>0.303672</v>
      </c>
      <c r="AH457" t="n">
        <v>0.369744</v>
      </c>
      <c r="AI457" t="n">
        <v>0.408672</v>
      </c>
    </row>
    <row r="458">
      <c r="A458" t="n">
        <v>105</v>
      </c>
      <c r="B458" s="13" t="n">
        <v>46296</v>
      </c>
      <c r="C458" s="13" t="n">
        <v>2958465</v>
      </c>
      <c r="D458" s="13" t="n">
        <v>46296</v>
      </c>
      <c r="E458" t="n">
        <v>1</v>
      </c>
      <c r="G458" t="n">
        <v>39.1134</v>
      </c>
      <c r="H458" t="n">
        <v>12.54096</v>
      </c>
      <c r="I458" t="n">
        <v>12.680304</v>
      </c>
      <c r="J458" t="n">
        <v>12.819648</v>
      </c>
      <c r="K458" t="n">
        <v>12.819648</v>
      </c>
      <c r="L458" t="n">
        <v>4.982568</v>
      </c>
      <c r="M458" t="n">
        <v>4.500384</v>
      </c>
      <c r="N458" t="n">
        <v>4.982568</v>
      </c>
      <c r="O458" t="n">
        <v>4.82184</v>
      </c>
      <c r="P458" t="n">
        <v>4.982568</v>
      </c>
      <c r="Q458" t="n">
        <v>4.82184</v>
      </c>
      <c r="R458" t="n">
        <v>4.982568</v>
      </c>
      <c r="S458" t="n">
        <v>4.982568</v>
      </c>
      <c r="T458" t="n">
        <v>4.82184</v>
      </c>
      <c r="U458" t="n">
        <v>4.982568</v>
      </c>
      <c r="V458" t="n">
        <v>4.82184</v>
      </c>
      <c r="W458" t="n">
        <v>4.982568</v>
      </c>
      <c r="X458" t="n">
        <v>0.214296</v>
      </c>
      <c r="Y458" t="n">
        <v>0.214296</v>
      </c>
      <c r="Z458" t="n">
        <v>0.214296</v>
      </c>
      <c r="AA458" t="n">
        <v>0.214296</v>
      </c>
      <c r="AB458" t="n">
        <v>0.214296</v>
      </c>
      <c r="AC458" t="n">
        <v>0.214296</v>
      </c>
      <c r="AD458" t="n">
        <v>0.214296</v>
      </c>
      <c r="AE458" t="n">
        <v>0.214296</v>
      </c>
      <c r="AF458" t="n">
        <v>0.214296</v>
      </c>
      <c r="AG458" t="n">
        <v>0.214296</v>
      </c>
      <c r="AH458" t="n">
        <v>0.214296</v>
      </c>
      <c r="AI458" t="n">
        <v>0.214296</v>
      </c>
    </row>
    <row r="459">
      <c r="A459" t="n">
        <v>106</v>
      </c>
      <c r="B459" s="13" t="n">
        <v>45566</v>
      </c>
      <c r="C459" s="13" t="n">
        <v>45930</v>
      </c>
      <c r="D459" s="13" t="n">
        <v>45566</v>
      </c>
      <c r="E459" t="n">
        <v>0</v>
      </c>
      <c r="F459" s="13" t="n">
        <v>45930</v>
      </c>
      <c r="G459" t="n">
        <v>43.0554</v>
      </c>
      <c r="H459" t="n">
        <v>20.4768</v>
      </c>
      <c r="I459" t="n">
        <v>9.860760000000001</v>
      </c>
      <c r="J459" t="n">
        <v>9.4392</v>
      </c>
      <c r="K459" t="n">
        <v>16.047744</v>
      </c>
      <c r="L459" t="n">
        <v>10.85124</v>
      </c>
      <c r="M459" t="n">
        <v>6.895392</v>
      </c>
      <c r="N459" t="n">
        <v>5.883552</v>
      </c>
      <c r="O459" t="n">
        <v>4.56264</v>
      </c>
      <c r="P459" t="n">
        <v>3.984864</v>
      </c>
      <c r="Q459" t="n">
        <v>2.79648</v>
      </c>
      <c r="R459" t="n">
        <v>3.50796</v>
      </c>
      <c r="S459" t="n">
        <v>4.163424</v>
      </c>
      <c r="T459" t="n">
        <v>3.2508</v>
      </c>
      <c r="U459" t="n">
        <v>4.490784</v>
      </c>
      <c r="V459" t="n">
        <v>5.51376</v>
      </c>
      <c r="W459" t="n">
        <v>8.550048</v>
      </c>
      <c r="X459" t="n">
        <v>0.701304</v>
      </c>
      <c r="Y459" t="n">
        <v>0.491568</v>
      </c>
      <c r="Z459" t="n">
        <v>0.379608</v>
      </c>
      <c r="AA459" t="n">
        <v>0.304152</v>
      </c>
      <c r="AB459" t="n">
        <v>0.258264</v>
      </c>
      <c r="AC459" t="n">
        <v>0.186192</v>
      </c>
      <c r="AD459" t="n">
        <v>0.22632</v>
      </c>
      <c r="AE459" t="n">
        <v>0.270048</v>
      </c>
      <c r="AF459" t="n">
        <v>0.21696</v>
      </c>
      <c r="AG459" t="n">
        <v>0.289992</v>
      </c>
      <c r="AH459" t="n">
        <v>0.369024</v>
      </c>
      <c r="AI459" t="n">
        <v>0.552816</v>
      </c>
    </row>
    <row r="460">
      <c r="A460" t="n">
        <v>106</v>
      </c>
      <c r="B460" s="13" t="n">
        <v>45931</v>
      </c>
      <c r="C460" s="13" t="n">
        <v>46295</v>
      </c>
      <c r="D460" s="13" t="n">
        <v>45931</v>
      </c>
      <c r="E460" t="n">
        <v>0</v>
      </c>
      <c r="F460" s="13" t="n">
        <v>46295</v>
      </c>
      <c r="G460" t="n">
        <v>43.143</v>
      </c>
      <c r="H460" t="n">
        <v>15.41808</v>
      </c>
      <c r="I460" t="n">
        <v>13.226304</v>
      </c>
      <c r="J460" t="n">
        <v>12.930048</v>
      </c>
      <c r="K460" t="n">
        <v>14.345376</v>
      </c>
      <c r="L460" t="n">
        <v>6.882</v>
      </c>
      <c r="M460" t="n">
        <v>5.361216</v>
      </c>
      <c r="N460" t="n">
        <v>5.533872</v>
      </c>
      <c r="O460" t="n">
        <v>5.31936</v>
      </c>
      <c r="P460" t="n">
        <v>5.347872</v>
      </c>
      <c r="Q460" t="n">
        <v>4.64184</v>
      </c>
      <c r="R460" t="n">
        <v>4.982568</v>
      </c>
      <c r="S460" t="n">
        <v>5.310672</v>
      </c>
      <c r="T460" t="n">
        <v>4.67784</v>
      </c>
      <c r="U460" t="n">
        <v>4.722168</v>
      </c>
      <c r="V460" t="n">
        <v>5.52816</v>
      </c>
      <c r="W460" t="n">
        <v>6.338136</v>
      </c>
      <c r="X460" t="n">
        <v>0.44544</v>
      </c>
      <c r="Y460" t="n">
        <v>0.383928</v>
      </c>
      <c r="Z460" t="n">
        <v>0.357984</v>
      </c>
      <c r="AA460" t="n">
        <v>0.354384</v>
      </c>
      <c r="AB460" t="n">
        <v>0.345</v>
      </c>
      <c r="AC460" t="n">
        <v>0.309456</v>
      </c>
      <c r="AD460" t="n">
        <v>0.321456</v>
      </c>
      <c r="AE460" t="n">
        <v>0.3426</v>
      </c>
      <c r="AF460" t="n">
        <v>0.311856</v>
      </c>
      <c r="AG460" t="n">
        <v>0.303672</v>
      </c>
      <c r="AH460" t="n">
        <v>0.369744</v>
      </c>
      <c r="AI460" t="n">
        <v>0.408672</v>
      </c>
    </row>
    <row r="461">
      <c r="A461" t="n">
        <v>106</v>
      </c>
      <c r="B461" s="13" t="n">
        <v>46296</v>
      </c>
      <c r="C461" s="13" t="n">
        <v>2958465</v>
      </c>
      <c r="D461" s="13" t="n">
        <v>46296</v>
      </c>
      <c r="E461" t="n">
        <v>1</v>
      </c>
      <c r="G461" t="n">
        <v>39.1134</v>
      </c>
      <c r="H461" t="n">
        <v>12.54096</v>
      </c>
      <c r="I461" t="n">
        <v>12.680304</v>
      </c>
      <c r="J461" t="n">
        <v>12.819648</v>
      </c>
      <c r="K461" t="n">
        <v>12.819648</v>
      </c>
      <c r="L461" t="n">
        <v>4.982568</v>
      </c>
      <c r="M461" t="n">
        <v>4.500384</v>
      </c>
      <c r="N461" t="n">
        <v>4.982568</v>
      </c>
      <c r="O461" t="n">
        <v>4.82184</v>
      </c>
      <c r="P461" t="n">
        <v>4.982568</v>
      </c>
      <c r="Q461" t="n">
        <v>4.82184</v>
      </c>
      <c r="R461" t="n">
        <v>4.982568</v>
      </c>
      <c r="S461" t="n">
        <v>4.982568</v>
      </c>
      <c r="T461" t="n">
        <v>4.82184</v>
      </c>
      <c r="U461" t="n">
        <v>4.982568</v>
      </c>
      <c r="V461" t="n">
        <v>4.82184</v>
      </c>
      <c r="W461" t="n">
        <v>4.982568</v>
      </c>
      <c r="X461" t="n">
        <v>0.214296</v>
      </c>
      <c r="Y461" t="n">
        <v>0.214296</v>
      </c>
      <c r="Z461" t="n">
        <v>0.214296</v>
      </c>
      <c r="AA461" t="n">
        <v>0.214296</v>
      </c>
      <c r="AB461" t="n">
        <v>0.214296</v>
      </c>
      <c r="AC461" t="n">
        <v>0.214296</v>
      </c>
      <c r="AD461" t="n">
        <v>0.214296</v>
      </c>
      <c r="AE461" t="n">
        <v>0.214296</v>
      </c>
      <c r="AF461" t="n">
        <v>0.214296</v>
      </c>
      <c r="AG461" t="n">
        <v>0.214296</v>
      </c>
      <c r="AH461" t="n">
        <v>0.214296</v>
      </c>
      <c r="AI461" t="n">
        <v>0.214296</v>
      </c>
    </row>
    <row r="462">
      <c r="A462" t="n">
        <v>107</v>
      </c>
      <c r="B462" s="13" t="n">
        <v>45566</v>
      </c>
      <c r="C462" s="13" t="n">
        <v>45930</v>
      </c>
      <c r="D462" s="13" t="n">
        <v>45566</v>
      </c>
      <c r="E462" t="n">
        <v>0</v>
      </c>
      <c r="F462" s="13" t="n">
        <v>45930</v>
      </c>
      <c r="G462" t="n">
        <v>36.30144</v>
      </c>
      <c r="H462" t="n">
        <v>17.27568</v>
      </c>
      <c r="I462" t="n">
        <v>8.329776000000001</v>
      </c>
      <c r="J462" t="n">
        <v>7.957632</v>
      </c>
      <c r="K462" t="n">
        <v>13.548288</v>
      </c>
      <c r="L462" t="n">
        <v>9.160871999999999</v>
      </c>
      <c r="M462" t="n">
        <v>5.825568</v>
      </c>
      <c r="N462" t="n">
        <v>4.967688</v>
      </c>
      <c r="O462" t="n">
        <v>3.84912</v>
      </c>
      <c r="P462" t="n">
        <v>3.35916</v>
      </c>
      <c r="Q462" t="n">
        <v>2.35656</v>
      </c>
      <c r="R462" t="n">
        <v>2.964096</v>
      </c>
      <c r="S462" t="n">
        <v>3.5154</v>
      </c>
      <c r="T462" t="n">
        <v>2.74608</v>
      </c>
      <c r="U462" t="n">
        <v>3.79068</v>
      </c>
      <c r="V462" t="n">
        <v>4.65624</v>
      </c>
      <c r="W462" t="n">
        <v>7.2168</v>
      </c>
      <c r="X462" t="n">
        <v>0.591984</v>
      </c>
      <c r="Y462" t="n">
        <v>0.414912</v>
      </c>
      <c r="Z462" t="n">
        <v>0.320496</v>
      </c>
      <c r="AA462" t="n">
        <v>0.256824</v>
      </c>
      <c r="AB462" t="n">
        <v>0.21792</v>
      </c>
      <c r="AC462" t="n">
        <v>0.157128</v>
      </c>
      <c r="AD462" t="n">
        <v>0.190992</v>
      </c>
      <c r="AE462" t="n">
        <v>0.22776</v>
      </c>
      <c r="AF462" t="n">
        <v>0.183072</v>
      </c>
      <c r="AG462" t="n">
        <v>0.244824</v>
      </c>
      <c r="AH462" t="n">
        <v>0.311376</v>
      </c>
      <c r="AI462" t="n">
        <v>0.466824</v>
      </c>
    </row>
    <row r="463">
      <c r="A463" t="n">
        <v>107</v>
      </c>
      <c r="B463" s="13" t="n">
        <v>45931</v>
      </c>
      <c r="C463" s="13" t="n">
        <v>46295</v>
      </c>
      <c r="D463" s="13" t="n">
        <v>45931</v>
      </c>
      <c r="E463" t="n">
        <v>0</v>
      </c>
      <c r="F463" s="13" t="n">
        <v>46295</v>
      </c>
      <c r="G463" t="n">
        <v>39.2886</v>
      </c>
      <c r="H463" t="n">
        <v>14.05512</v>
      </c>
      <c r="I463" t="n">
        <v>12.068784</v>
      </c>
      <c r="J463" t="n">
        <v>11.803968</v>
      </c>
      <c r="K463" t="n">
        <v>13.084608</v>
      </c>
      <c r="L463" t="n">
        <v>6.278616</v>
      </c>
      <c r="M463" t="n">
        <v>4.884096</v>
      </c>
      <c r="N463" t="n">
        <v>5.042088</v>
      </c>
      <c r="O463" t="n">
        <v>4.85064</v>
      </c>
      <c r="P463" t="n">
        <v>4.878408</v>
      </c>
      <c r="Q463" t="n">
        <v>4.23072</v>
      </c>
      <c r="R463" t="n">
        <v>4.542864</v>
      </c>
      <c r="S463" t="n">
        <v>4.841208</v>
      </c>
      <c r="T463" t="n">
        <v>4.26672</v>
      </c>
      <c r="U463" t="n">
        <v>4.304784</v>
      </c>
      <c r="V463" t="n">
        <v>5.03784</v>
      </c>
      <c r="W463" t="n">
        <v>5.779392</v>
      </c>
      <c r="X463" t="n">
        <v>0.406032</v>
      </c>
      <c r="Y463" t="n">
        <v>0.35004</v>
      </c>
      <c r="Z463" t="n">
        <v>0.326496</v>
      </c>
      <c r="AA463" t="n">
        <v>0.323136</v>
      </c>
      <c r="AB463" t="n">
        <v>0.314496</v>
      </c>
      <c r="AC463" t="n">
        <v>0.282288</v>
      </c>
      <c r="AD463" t="n">
        <v>0.293112</v>
      </c>
      <c r="AE463" t="n">
        <v>0.312336</v>
      </c>
      <c r="AF463" t="n">
        <v>0.284448</v>
      </c>
      <c r="AG463" t="n">
        <v>0.276768</v>
      </c>
      <c r="AH463" t="n">
        <v>0.33708</v>
      </c>
      <c r="AI463" t="n">
        <v>0.372624</v>
      </c>
    </row>
    <row r="464">
      <c r="A464" t="n">
        <v>107</v>
      </c>
      <c r="B464" s="13" t="n">
        <v>46296</v>
      </c>
      <c r="C464" s="13" t="n">
        <v>2958465</v>
      </c>
      <c r="D464" s="13" t="n">
        <v>46296</v>
      </c>
      <c r="E464" t="n">
        <v>1</v>
      </c>
      <c r="G464" t="n">
        <v>36.30144</v>
      </c>
      <c r="H464" t="n">
        <v>11.63376</v>
      </c>
      <c r="I464" t="n">
        <v>11.763024</v>
      </c>
      <c r="J464" t="n">
        <v>11.892288</v>
      </c>
      <c r="K464" t="n">
        <v>11.892288</v>
      </c>
      <c r="L464" t="n">
        <v>4.625448</v>
      </c>
      <c r="M464" t="n">
        <v>4.177824</v>
      </c>
      <c r="N464" t="n">
        <v>4.625448</v>
      </c>
      <c r="O464" t="n">
        <v>4.47624</v>
      </c>
      <c r="P464" t="n">
        <v>4.625448</v>
      </c>
      <c r="Q464" t="n">
        <v>4.47624</v>
      </c>
      <c r="R464" t="n">
        <v>4.625448</v>
      </c>
      <c r="S464" t="n">
        <v>4.625448</v>
      </c>
      <c r="T464" t="n">
        <v>4.47624</v>
      </c>
      <c r="U464" t="n">
        <v>4.625448</v>
      </c>
      <c r="V464" t="n">
        <v>4.47624</v>
      </c>
      <c r="W464" t="n">
        <v>4.625448</v>
      </c>
      <c r="X464" t="n">
        <v>0.198936</v>
      </c>
      <c r="Y464" t="n">
        <v>0.198936</v>
      </c>
      <c r="Z464" t="n">
        <v>0.198936</v>
      </c>
      <c r="AA464" t="n">
        <v>0.198936</v>
      </c>
      <c r="AB464" t="n">
        <v>0.198936</v>
      </c>
      <c r="AC464" t="n">
        <v>0.198936</v>
      </c>
      <c r="AD464" t="n">
        <v>0.198936</v>
      </c>
      <c r="AE464" t="n">
        <v>0.198936</v>
      </c>
      <c r="AF464" t="n">
        <v>0.198936</v>
      </c>
      <c r="AG464" t="n">
        <v>0.198936</v>
      </c>
      <c r="AH464" t="n">
        <v>0.198936</v>
      </c>
      <c r="AI464" t="n">
        <v>0.198936</v>
      </c>
    </row>
    <row r="465">
      <c r="A465" t="n">
        <v>108</v>
      </c>
      <c r="B465" s="13" t="n">
        <v>45566</v>
      </c>
      <c r="C465" s="13" t="n">
        <v>45930</v>
      </c>
      <c r="D465" s="13" t="n">
        <v>45566</v>
      </c>
      <c r="E465" t="n">
        <v>0</v>
      </c>
      <c r="F465" s="13" t="n">
        <v>45930</v>
      </c>
      <c r="G465" t="n">
        <v>36.30144</v>
      </c>
      <c r="H465" t="n">
        <v>17.27568</v>
      </c>
      <c r="I465" t="n">
        <v>8.329776000000001</v>
      </c>
      <c r="J465" t="n">
        <v>7.957632</v>
      </c>
      <c r="K465" t="n">
        <v>13.548288</v>
      </c>
      <c r="L465" t="n">
        <v>9.160871999999999</v>
      </c>
      <c r="M465" t="n">
        <v>5.825568</v>
      </c>
      <c r="N465" t="n">
        <v>4.967688</v>
      </c>
      <c r="O465" t="n">
        <v>3.84912</v>
      </c>
      <c r="P465" t="n">
        <v>3.35916</v>
      </c>
      <c r="Q465" t="n">
        <v>2.35656</v>
      </c>
      <c r="R465" t="n">
        <v>2.964096</v>
      </c>
      <c r="S465" t="n">
        <v>3.5154</v>
      </c>
      <c r="T465" t="n">
        <v>2.74608</v>
      </c>
      <c r="U465" t="n">
        <v>3.79068</v>
      </c>
      <c r="V465" t="n">
        <v>4.65624</v>
      </c>
      <c r="W465" t="n">
        <v>7.2168</v>
      </c>
      <c r="X465" t="n">
        <v>0.591984</v>
      </c>
      <c r="Y465" t="n">
        <v>0.414912</v>
      </c>
      <c r="Z465" t="n">
        <v>0.320496</v>
      </c>
      <c r="AA465" t="n">
        <v>0.256824</v>
      </c>
      <c r="AB465" t="n">
        <v>0.21792</v>
      </c>
      <c r="AC465" t="n">
        <v>0.157128</v>
      </c>
      <c r="AD465" t="n">
        <v>0.190992</v>
      </c>
      <c r="AE465" t="n">
        <v>0.22776</v>
      </c>
      <c r="AF465" t="n">
        <v>0.183072</v>
      </c>
      <c r="AG465" t="n">
        <v>0.244824</v>
      </c>
      <c r="AH465" t="n">
        <v>0.311376</v>
      </c>
      <c r="AI465" t="n">
        <v>0.466824</v>
      </c>
    </row>
    <row r="466">
      <c r="A466" t="n">
        <v>108</v>
      </c>
      <c r="B466" s="13" t="n">
        <v>45931</v>
      </c>
      <c r="C466" s="13" t="n">
        <v>46295</v>
      </c>
      <c r="D466" s="13" t="n">
        <v>45931</v>
      </c>
      <c r="E466" t="n">
        <v>0</v>
      </c>
      <c r="F466" s="13" t="n">
        <v>46295</v>
      </c>
      <c r="G466" t="n">
        <v>39.2886</v>
      </c>
      <c r="H466" t="n">
        <v>14.05512</v>
      </c>
      <c r="I466" t="n">
        <v>12.068784</v>
      </c>
      <c r="J466" t="n">
        <v>11.803968</v>
      </c>
      <c r="K466" t="n">
        <v>13.084608</v>
      </c>
      <c r="L466" t="n">
        <v>6.278616</v>
      </c>
      <c r="M466" t="n">
        <v>4.884096</v>
      </c>
      <c r="N466" t="n">
        <v>5.042088</v>
      </c>
      <c r="O466" t="n">
        <v>4.85064</v>
      </c>
      <c r="P466" t="n">
        <v>4.878408</v>
      </c>
      <c r="Q466" t="n">
        <v>4.23072</v>
      </c>
      <c r="R466" t="n">
        <v>4.542864</v>
      </c>
      <c r="S466" t="n">
        <v>4.841208</v>
      </c>
      <c r="T466" t="n">
        <v>4.26672</v>
      </c>
      <c r="U466" t="n">
        <v>4.304784</v>
      </c>
      <c r="V466" t="n">
        <v>5.03784</v>
      </c>
      <c r="W466" t="n">
        <v>5.779392</v>
      </c>
      <c r="X466" t="n">
        <v>0.406032</v>
      </c>
      <c r="Y466" t="n">
        <v>0.35004</v>
      </c>
      <c r="Z466" t="n">
        <v>0.326496</v>
      </c>
      <c r="AA466" t="n">
        <v>0.323136</v>
      </c>
      <c r="AB466" t="n">
        <v>0.314496</v>
      </c>
      <c r="AC466" t="n">
        <v>0.282288</v>
      </c>
      <c r="AD466" t="n">
        <v>0.293112</v>
      </c>
      <c r="AE466" t="n">
        <v>0.312336</v>
      </c>
      <c r="AF466" t="n">
        <v>0.284448</v>
      </c>
      <c r="AG466" t="n">
        <v>0.276768</v>
      </c>
      <c r="AH466" t="n">
        <v>0.33708</v>
      </c>
      <c r="AI466" t="n">
        <v>0.372624</v>
      </c>
    </row>
    <row r="467">
      <c r="A467" t="n">
        <v>108</v>
      </c>
      <c r="B467" s="13" t="n">
        <v>46296</v>
      </c>
      <c r="C467" s="13" t="n">
        <v>2958465</v>
      </c>
      <c r="D467" s="13" t="n">
        <v>46296</v>
      </c>
      <c r="E467" t="n">
        <v>1</v>
      </c>
      <c r="G467" t="n">
        <v>36.30144</v>
      </c>
      <c r="H467" t="n">
        <v>11.63376</v>
      </c>
      <c r="I467" t="n">
        <v>11.763024</v>
      </c>
      <c r="J467" t="n">
        <v>11.892288</v>
      </c>
      <c r="K467" t="n">
        <v>11.892288</v>
      </c>
      <c r="L467" t="n">
        <v>4.625448</v>
      </c>
      <c r="M467" t="n">
        <v>4.177824</v>
      </c>
      <c r="N467" t="n">
        <v>4.625448</v>
      </c>
      <c r="O467" t="n">
        <v>4.47624</v>
      </c>
      <c r="P467" t="n">
        <v>4.625448</v>
      </c>
      <c r="Q467" t="n">
        <v>4.47624</v>
      </c>
      <c r="R467" t="n">
        <v>4.625448</v>
      </c>
      <c r="S467" t="n">
        <v>4.625448</v>
      </c>
      <c r="T467" t="n">
        <v>4.47624</v>
      </c>
      <c r="U467" t="n">
        <v>4.625448</v>
      </c>
      <c r="V467" t="n">
        <v>4.47624</v>
      </c>
      <c r="W467" t="n">
        <v>4.625448</v>
      </c>
      <c r="X467" t="n">
        <v>0.198936</v>
      </c>
      <c r="Y467" t="n">
        <v>0.198936</v>
      </c>
      <c r="Z467" t="n">
        <v>0.198936</v>
      </c>
      <c r="AA467" t="n">
        <v>0.198936</v>
      </c>
      <c r="AB467" t="n">
        <v>0.198936</v>
      </c>
      <c r="AC467" t="n">
        <v>0.198936</v>
      </c>
      <c r="AD467" t="n">
        <v>0.198936</v>
      </c>
      <c r="AE467" t="n">
        <v>0.198936</v>
      </c>
      <c r="AF467" t="n">
        <v>0.198936</v>
      </c>
      <c r="AG467" t="n">
        <v>0.198936</v>
      </c>
      <c r="AH467" t="n">
        <v>0.198936</v>
      </c>
      <c r="AI467" t="n">
        <v>0.198936</v>
      </c>
    </row>
    <row r="468">
      <c r="A468" t="n">
        <v>109</v>
      </c>
      <c r="B468" s="13" t="n">
        <v>45566</v>
      </c>
      <c r="C468" s="13" t="n">
        <v>45930</v>
      </c>
      <c r="D468" s="13" t="n">
        <v>45566</v>
      </c>
      <c r="E468" t="n">
        <v>0</v>
      </c>
      <c r="F468" s="13" t="n">
        <v>45930</v>
      </c>
      <c r="G468" t="n">
        <v>36.30144</v>
      </c>
      <c r="H468" t="n">
        <v>17.27568</v>
      </c>
      <c r="I468" t="n">
        <v>8.329776000000001</v>
      </c>
      <c r="J468" t="n">
        <v>7.957632</v>
      </c>
      <c r="K468" t="n">
        <v>13.548288</v>
      </c>
      <c r="L468" t="n">
        <v>9.160871999999999</v>
      </c>
      <c r="M468" t="n">
        <v>5.825568</v>
      </c>
      <c r="N468" t="n">
        <v>4.967688</v>
      </c>
      <c r="O468" t="n">
        <v>3.84912</v>
      </c>
      <c r="P468" t="n">
        <v>3.35916</v>
      </c>
      <c r="Q468" t="n">
        <v>2.35656</v>
      </c>
      <c r="R468" t="n">
        <v>2.964096</v>
      </c>
      <c r="S468" t="n">
        <v>3.5154</v>
      </c>
      <c r="T468" t="n">
        <v>2.74608</v>
      </c>
      <c r="U468" t="n">
        <v>3.79068</v>
      </c>
      <c r="V468" t="n">
        <v>4.65624</v>
      </c>
      <c r="W468" t="n">
        <v>7.2168</v>
      </c>
      <c r="X468" t="n">
        <v>0.591984</v>
      </c>
      <c r="Y468" t="n">
        <v>0.414912</v>
      </c>
      <c r="Z468" t="n">
        <v>0.320496</v>
      </c>
      <c r="AA468" t="n">
        <v>0.256824</v>
      </c>
      <c r="AB468" t="n">
        <v>0.21792</v>
      </c>
      <c r="AC468" t="n">
        <v>0.157128</v>
      </c>
      <c r="AD468" t="n">
        <v>0.190992</v>
      </c>
      <c r="AE468" t="n">
        <v>0.22776</v>
      </c>
      <c r="AF468" t="n">
        <v>0.183072</v>
      </c>
      <c r="AG468" t="n">
        <v>0.244824</v>
      </c>
      <c r="AH468" t="n">
        <v>0.311376</v>
      </c>
      <c r="AI468" t="n">
        <v>0.466824</v>
      </c>
    </row>
    <row r="469">
      <c r="A469" t="n">
        <v>109</v>
      </c>
      <c r="B469" s="13" t="n">
        <v>45931</v>
      </c>
      <c r="C469" s="13" t="n">
        <v>46295</v>
      </c>
      <c r="D469" s="13" t="n">
        <v>45931</v>
      </c>
      <c r="E469" t="n">
        <v>0</v>
      </c>
      <c r="F469" s="13" t="n">
        <v>46295</v>
      </c>
      <c r="G469" t="n">
        <v>39.2886</v>
      </c>
      <c r="H469" t="n">
        <v>14.05512</v>
      </c>
      <c r="I469" t="n">
        <v>12.068784</v>
      </c>
      <c r="J469" t="n">
        <v>11.803968</v>
      </c>
      <c r="K469" t="n">
        <v>13.084608</v>
      </c>
      <c r="L469" t="n">
        <v>6.278616</v>
      </c>
      <c r="M469" t="n">
        <v>4.884096</v>
      </c>
      <c r="N469" t="n">
        <v>5.042088</v>
      </c>
      <c r="O469" t="n">
        <v>4.85064</v>
      </c>
      <c r="P469" t="n">
        <v>4.878408</v>
      </c>
      <c r="Q469" t="n">
        <v>4.23072</v>
      </c>
      <c r="R469" t="n">
        <v>4.542864</v>
      </c>
      <c r="S469" t="n">
        <v>4.841208</v>
      </c>
      <c r="T469" t="n">
        <v>4.26672</v>
      </c>
      <c r="U469" t="n">
        <v>4.304784</v>
      </c>
      <c r="V469" t="n">
        <v>5.03784</v>
      </c>
      <c r="W469" t="n">
        <v>5.779392</v>
      </c>
      <c r="X469" t="n">
        <v>0.406032</v>
      </c>
      <c r="Y469" t="n">
        <v>0.35004</v>
      </c>
      <c r="Z469" t="n">
        <v>0.326496</v>
      </c>
      <c r="AA469" t="n">
        <v>0.323136</v>
      </c>
      <c r="AB469" t="n">
        <v>0.314496</v>
      </c>
      <c r="AC469" t="n">
        <v>0.282288</v>
      </c>
      <c r="AD469" t="n">
        <v>0.293112</v>
      </c>
      <c r="AE469" t="n">
        <v>0.312336</v>
      </c>
      <c r="AF469" t="n">
        <v>0.284448</v>
      </c>
      <c r="AG469" t="n">
        <v>0.276768</v>
      </c>
      <c r="AH469" t="n">
        <v>0.33708</v>
      </c>
      <c r="AI469" t="n">
        <v>0.372624</v>
      </c>
    </row>
    <row r="470">
      <c r="A470" t="n">
        <v>109</v>
      </c>
      <c r="B470" s="13" t="n">
        <v>46296</v>
      </c>
      <c r="C470" s="13" t="n">
        <v>2958465</v>
      </c>
      <c r="D470" s="13" t="n">
        <v>46296</v>
      </c>
      <c r="E470" t="n">
        <v>1</v>
      </c>
      <c r="G470" t="n">
        <v>36.30144</v>
      </c>
      <c r="H470" t="n">
        <v>11.63376</v>
      </c>
      <c r="I470" t="n">
        <v>11.763024</v>
      </c>
      <c r="J470" t="n">
        <v>11.892288</v>
      </c>
      <c r="K470" t="n">
        <v>11.892288</v>
      </c>
      <c r="L470" t="n">
        <v>4.625448</v>
      </c>
      <c r="M470" t="n">
        <v>4.177824</v>
      </c>
      <c r="N470" t="n">
        <v>4.625448</v>
      </c>
      <c r="O470" t="n">
        <v>4.47624</v>
      </c>
      <c r="P470" t="n">
        <v>4.625448</v>
      </c>
      <c r="Q470" t="n">
        <v>4.47624</v>
      </c>
      <c r="R470" t="n">
        <v>4.625448</v>
      </c>
      <c r="S470" t="n">
        <v>4.625448</v>
      </c>
      <c r="T470" t="n">
        <v>4.47624</v>
      </c>
      <c r="U470" t="n">
        <v>4.625448</v>
      </c>
      <c r="V470" t="n">
        <v>4.47624</v>
      </c>
      <c r="W470" t="n">
        <v>4.625448</v>
      </c>
      <c r="X470" t="n">
        <v>0.198936</v>
      </c>
      <c r="Y470" t="n">
        <v>0.198936</v>
      </c>
      <c r="Z470" t="n">
        <v>0.198936</v>
      </c>
      <c r="AA470" t="n">
        <v>0.198936</v>
      </c>
      <c r="AB470" t="n">
        <v>0.198936</v>
      </c>
      <c r="AC470" t="n">
        <v>0.198936</v>
      </c>
      <c r="AD470" t="n">
        <v>0.198936</v>
      </c>
      <c r="AE470" t="n">
        <v>0.198936</v>
      </c>
      <c r="AF470" t="n">
        <v>0.198936</v>
      </c>
      <c r="AG470" t="n">
        <v>0.198936</v>
      </c>
      <c r="AH470" t="n">
        <v>0.198936</v>
      </c>
      <c r="AI470" t="n">
        <v>0.198936</v>
      </c>
    </row>
    <row r="471">
      <c r="A471" t="n">
        <v>110</v>
      </c>
      <c r="B471" s="13" t="n">
        <v>46023</v>
      </c>
      <c r="C471" s="13" t="n">
        <v>46387</v>
      </c>
      <c r="D471" s="13" t="n">
        <v>46023</v>
      </c>
      <c r="E471" t="n">
        <v>0</v>
      </c>
      <c r="F471" s="13" t="n">
        <v>46387</v>
      </c>
      <c r="G471" t="n">
        <v>3.3654684</v>
      </c>
      <c r="H471" t="n">
        <v>1.03028974</v>
      </c>
      <c r="I471" t="n">
        <v>1.04173741</v>
      </c>
      <c r="J471" t="n">
        <v>1.05318507</v>
      </c>
      <c r="K471" t="n">
        <v>1.05318507</v>
      </c>
      <c r="L471" t="n">
        <v>0.38070557</v>
      </c>
      <c r="M471" t="n">
        <v>0.34386309</v>
      </c>
      <c r="N471" t="n">
        <v>0.38070557</v>
      </c>
      <c r="O471" t="n">
        <v>0.36842474</v>
      </c>
      <c r="P471" t="n">
        <v>0.38070557</v>
      </c>
      <c r="Q471" t="n">
        <v>0.36842474</v>
      </c>
      <c r="R471" t="n">
        <v>0.38070557</v>
      </c>
      <c r="S471" t="n">
        <v>0.38070557</v>
      </c>
      <c r="T471" t="n">
        <v>0.36842474</v>
      </c>
      <c r="U471" t="n">
        <v>0.38070557</v>
      </c>
      <c r="V471" t="n">
        <v>0.36842474</v>
      </c>
      <c r="W471" t="n">
        <v>0.38070557</v>
      </c>
      <c r="X471" t="n">
        <v>0.01228082</v>
      </c>
      <c r="Y471" t="n">
        <v>0.01228082</v>
      </c>
      <c r="Z471" t="n">
        <v>0.01228082</v>
      </c>
      <c r="AA471" t="n">
        <v>0.01228082</v>
      </c>
      <c r="AB471" t="n">
        <v>0.01228082</v>
      </c>
      <c r="AC471" t="n">
        <v>0.01228082</v>
      </c>
      <c r="AD471" t="n">
        <v>0.01228082</v>
      </c>
      <c r="AE471" t="n">
        <v>0.01228082</v>
      </c>
      <c r="AF471" t="n">
        <v>0.01228082</v>
      </c>
      <c r="AG471" t="n">
        <v>0.01228082</v>
      </c>
      <c r="AH471" t="n">
        <v>0.01228082</v>
      </c>
      <c r="AI471" t="n">
        <v>0.01228082</v>
      </c>
    </row>
    <row r="472">
      <c r="A472" t="n">
        <v>110</v>
      </c>
      <c r="B472" s="13" t="n">
        <v>46388</v>
      </c>
      <c r="C472" s="13" t="n">
        <v>2958465</v>
      </c>
      <c r="D472" s="13" t="n">
        <v>46388</v>
      </c>
      <c r="E472" t="n">
        <v>1</v>
      </c>
      <c r="G472" t="n">
        <v>3.8006174</v>
      </c>
      <c r="H472" t="n">
        <v>1.16350435</v>
      </c>
      <c r="I472" t="n">
        <v>1.17643218</v>
      </c>
      <c r="J472" t="n">
        <v>1.18936</v>
      </c>
      <c r="K472" t="n">
        <v>1.18936</v>
      </c>
      <c r="L472" t="n">
        <v>0.42993011</v>
      </c>
      <c r="M472" t="n">
        <v>0.38832397</v>
      </c>
      <c r="N472" t="n">
        <v>0.42993011</v>
      </c>
      <c r="O472" t="n">
        <v>0.4160614</v>
      </c>
      <c r="P472" t="n">
        <v>0.42993011</v>
      </c>
      <c r="Q472" t="n">
        <v>0.4160614</v>
      </c>
      <c r="R472" t="n">
        <v>0.42993011</v>
      </c>
      <c r="S472" t="n">
        <v>0.42993011</v>
      </c>
      <c r="T472" t="n">
        <v>0.4160614</v>
      </c>
      <c r="U472" t="n">
        <v>0.42993011</v>
      </c>
      <c r="V472" t="n">
        <v>0.4160614</v>
      </c>
      <c r="W472" t="n">
        <v>0.42993011</v>
      </c>
      <c r="X472" t="n">
        <v>0.01386871</v>
      </c>
      <c r="Y472" t="n">
        <v>0.01386871</v>
      </c>
      <c r="Z472" t="n">
        <v>0.01386871</v>
      </c>
      <c r="AA472" t="n">
        <v>0.01386871</v>
      </c>
      <c r="AB472" t="n">
        <v>0.01386871</v>
      </c>
      <c r="AC472" t="n">
        <v>0.01386871</v>
      </c>
      <c r="AD472" t="n">
        <v>0.01386871</v>
      </c>
      <c r="AE472" t="n">
        <v>0.01386871</v>
      </c>
      <c r="AF472" t="n">
        <v>0.01386871</v>
      </c>
      <c r="AG472" t="n">
        <v>0.01386871</v>
      </c>
      <c r="AH472" t="n">
        <v>0.01386871</v>
      </c>
      <c r="AI472" t="n">
        <v>0.01386871</v>
      </c>
    </row>
    <row r="473">
      <c r="A473" t="n">
        <v>111</v>
      </c>
      <c r="B473" s="13" t="n">
        <v>46023</v>
      </c>
      <c r="C473" s="13" t="n">
        <v>46387</v>
      </c>
      <c r="D473" s="13" t="n">
        <v>46023</v>
      </c>
      <c r="E473" t="n">
        <v>0</v>
      </c>
      <c r="F473" s="13" t="n">
        <v>46387</v>
      </c>
      <c r="G473" t="n">
        <v>3.3654684</v>
      </c>
      <c r="H473" t="n">
        <v>1.03028974</v>
      </c>
      <c r="I473" t="n">
        <v>1.04173741</v>
      </c>
      <c r="J473" t="n">
        <v>1.05318507</v>
      </c>
      <c r="K473" t="n">
        <v>1.05318507</v>
      </c>
      <c r="L473" t="n">
        <v>0.38070557</v>
      </c>
      <c r="M473" t="n">
        <v>0.34386309</v>
      </c>
      <c r="N473" t="n">
        <v>0.38070557</v>
      </c>
      <c r="O473" t="n">
        <v>0.36842474</v>
      </c>
      <c r="P473" t="n">
        <v>0.38070557</v>
      </c>
      <c r="Q473" t="n">
        <v>0.36842474</v>
      </c>
      <c r="R473" t="n">
        <v>0.38070557</v>
      </c>
      <c r="S473" t="n">
        <v>0.38070557</v>
      </c>
      <c r="T473" t="n">
        <v>0.36842474</v>
      </c>
      <c r="U473" t="n">
        <v>0.38070557</v>
      </c>
      <c r="V473" t="n">
        <v>0.36842474</v>
      </c>
      <c r="W473" t="n">
        <v>0.38070557</v>
      </c>
      <c r="X473" t="n">
        <v>0.01228082</v>
      </c>
      <c r="Y473" t="n">
        <v>0.01228082</v>
      </c>
      <c r="Z473" t="n">
        <v>0.01228082</v>
      </c>
      <c r="AA473" t="n">
        <v>0.01228082</v>
      </c>
      <c r="AB473" t="n">
        <v>0.01228082</v>
      </c>
      <c r="AC473" t="n">
        <v>0.01228082</v>
      </c>
      <c r="AD473" t="n">
        <v>0.01228082</v>
      </c>
      <c r="AE473" t="n">
        <v>0.01228082</v>
      </c>
      <c r="AF473" t="n">
        <v>0.01228082</v>
      </c>
      <c r="AG473" t="n">
        <v>0.01228082</v>
      </c>
      <c r="AH473" t="n">
        <v>0.01228082</v>
      </c>
      <c r="AI473" t="n">
        <v>0.01228082</v>
      </c>
    </row>
    <row r="474">
      <c r="A474" t="n">
        <v>111</v>
      </c>
      <c r="B474" s="13" t="n">
        <v>46388</v>
      </c>
      <c r="C474" s="13" t="n">
        <v>2958465</v>
      </c>
      <c r="D474" s="13" t="n">
        <v>46388</v>
      </c>
      <c r="E474" t="n">
        <v>1</v>
      </c>
      <c r="G474" t="n">
        <v>3.8006174</v>
      </c>
      <c r="H474" t="n">
        <v>1.16350435</v>
      </c>
      <c r="I474" t="n">
        <v>1.17643218</v>
      </c>
      <c r="J474" t="n">
        <v>1.18936</v>
      </c>
      <c r="K474" t="n">
        <v>1.18936</v>
      </c>
      <c r="L474" t="n">
        <v>0.42993011</v>
      </c>
      <c r="M474" t="n">
        <v>0.38832397</v>
      </c>
      <c r="N474" t="n">
        <v>0.42993011</v>
      </c>
      <c r="O474" t="n">
        <v>0.4160614</v>
      </c>
      <c r="P474" t="n">
        <v>0.42993011</v>
      </c>
      <c r="Q474" t="n">
        <v>0.4160614</v>
      </c>
      <c r="R474" t="n">
        <v>0.42993011</v>
      </c>
      <c r="S474" t="n">
        <v>0.42993011</v>
      </c>
      <c r="T474" t="n">
        <v>0.4160614</v>
      </c>
      <c r="U474" t="n">
        <v>0.42993011</v>
      </c>
      <c r="V474" t="n">
        <v>0.4160614</v>
      </c>
      <c r="W474" t="n">
        <v>0.42993011</v>
      </c>
      <c r="X474" t="n">
        <v>0.01386871</v>
      </c>
      <c r="Y474" t="n">
        <v>0.01386871</v>
      </c>
      <c r="Z474" t="n">
        <v>0.01386871</v>
      </c>
      <c r="AA474" t="n">
        <v>0.01386871</v>
      </c>
      <c r="AB474" t="n">
        <v>0.01386871</v>
      </c>
      <c r="AC474" t="n">
        <v>0.01386871</v>
      </c>
      <c r="AD474" t="n">
        <v>0.01386871</v>
      </c>
      <c r="AE474" t="n">
        <v>0.01386871</v>
      </c>
      <c r="AF474" t="n">
        <v>0.01386871</v>
      </c>
      <c r="AG474" t="n">
        <v>0.01386871</v>
      </c>
      <c r="AH474" t="n">
        <v>0.01386871</v>
      </c>
      <c r="AI474" t="n">
        <v>0.01386871</v>
      </c>
    </row>
    <row r="475">
      <c r="A475" t="n">
        <v>112</v>
      </c>
      <c r="B475" s="13" t="n">
        <v>45658</v>
      </c>
      <c r="C475" s="13" t="n">
        <v>46022</v>
      </c>
      <c r="D475" s="13" t="n">
        <v>45658</v>
      </c>
      <c r="E475" t="n">
        <v>0</v>
      </c>
      <c r="F475" s="13" t="n">
        <v>46022</v>
      </c>
      <c r="G475" t="n">
        <v>4.026</v>
      </c>
      <c r="H475" t="n">
        <v>1.09198356</v>
      </c>
      <c r="I475" t="n">
        <v>1.10411671</v>
      </c>
      <c r="J475" t="n">
        <v>1.11624986</v>
      </c>
      <c r="K475" t="n">
        <v>1.11624986</v>
      </c>
      <c r="L475" t="n">
        <v>0.42741781</v>
      </c>
      <c r="M475" t="n">
        <v>0.38605479</v>
      </c>
      <c r="N475" t="n">
        <v>0.42741781</v>
      </c>
      <c r="O475" t="n">
        <v>0.41363014</v>
      </c>
      <c r="P475" t="n">
        <v>0.42741781</v>
      </c>
      <c r="Q475" t="n">
        <v>0.41363014</v>
      </c>
      <c r="R475" t="n">
        <v>0.42741781</v>
      </c>
      <c r="S475" t="n">
        <v>0.42741781</v>
      </c>
      <c r="T475" t="n">
        <v>0.41363014</v>
      </c>
      <c r="U475" t="n">
        <v>0.42741781</v>
      </c>
      <c r="V475" t="n">
        <v>0.41363014</v>
      </c>
      <c r="W475" t="n">
        <v>0.42741781</v>
      </c>
      <c r="X475" t="n">
        <v>0.01544219</v>
      </c>
      <c r="Y475" t="n">
        <v>0.01544219</v>
      </c>
      <c r="Z475" t="n">
        <v>0.01544219</v>
      </c>
      <c r="AA475" t="n">
        <v>0.01544219</v>
      </c>
      <c r="AB475" t="n">
        <v>0.01544219</v>
      </c>
      <c r="AC475" t="n">
        <v>0.01544219</v>
      </c>
      <c r="AD475" t="n">
        <v>0.01544219</v>
      </c>
      <c r="AE475" t="n">
        <v>0.01544219</v>
      </c>
      <c r="AF475" t="n">
        <v>0.01544219</v>
      </c>
      <c r="AG475" t="n">
        <v>0.01544219</v>
      </c>
      <c r="AH475" t="n">
        <v>0.01544219</v>
      </c>
      <c r="AI475" t="n">
        <v>0.01544219</v>
      </c>
    </row>
    <row r="476">
      <c r="A476" t="n">
        <v>112</v>
      </c>
      <c r="B476" s="13" t="n">
        <v>46023</v>
      </c>
      <c r="C476" s="13" t="n">
        <v>46387</v>
      </c>
      <c r="D476" s="13" t="n">
        <v>46023</v>
      </c>
      <c r="E476" t="n">
        <v>0</v>
      </c>
      <c r="F476" s="13" t="n">
        <v>46387</v>
      </c>
      <c r="G476" t="n">
        <v>4.236</v>
      </c>
      <c r="H476" t="n">
        <v>1.14894247</v>
      </c>
      <c r="I476" t="n">
        <v>1.16170849</v>
      </c>
      <c r="J476" t="n">
        <v>1.17447452</v>
      </c>
      <c r="K476" t="n">
        <v>1.17447452</v>
      </c>
      <c r="L476" t="n">
        <v>0.74952055</v>
      </c>
      <c r="M476" t="n">
        <v>0.6769863</v>
      </c>
      <c r="N476" t="n">
        <v>0.74952055</v>
      </c>
      <c r="O476" t="n">
        <v>0.72534247</v>
      </c>
      <c r="P476" t="n">
        <v>0.74952055</v>
      </c>
      <c r="Q476" t="n">
        <v>0.72534247</v>
      </c>
      <c r="R476" t="n">
        <v>0.74952055</v>
      </c>
      <c r="S476" t="n">
        <v>0.74952055</v>
      </c>
      <c r="T476" t="n">
        <v>0.72534247</v>
      </c>
      <c r="U476" t="n">
        <v>0.74952055</v>
      </c>
      <c r="V476" t="n">
        <v>0.72534247</v>
      </c>
      <c r="W476" t="n">
        <v>0.74952055</v>
      </c>
      <c r="X476" t="n">
        <v>0.02707945</v>
      </c>
      <c r="Y476" t="n">
        <v>0.02707945</v>
      </c>
      <c r="Z476" t="n">
        <v>0.02707945</v>
      </c>
      <c r="AA476" t="n">
        <v>0.02707945</v>
      </c>
      <c r="AB476" t="n">
        <v>0.02707945</v>
      </c>
      <c r="AC476" t="n">
        <v>0.02707945</v>
      </c>
      <c r="AD476" t="n">
        <v>0.02707945</v>
      </c>
      <c r="AE476" t="n">
        <v>0.02707945</v>
      </c>
      <c r="AF476" t="n">
        <v>0.02707945</v>
      </c>
      <c r="AG476" t="n">
        <v>0.02707945</v>
      </c>
      <c r="AH476" t="n">
        <v>0.02707945</v>
      </c>
      <c r="AI476" t="n">
        <v>0.02707945</v>
      </c>
    </row>
    <row r="477">
      <c r="A477" t="n">
        <v>112</v>
      </c>
      <c r="B477" s="13" t="n">
        <v>46388</v>
      </c>
      <c r="C477" s="13" t="n">
        <v>2958465</v>
      </c>
      <c r="D477" s="13" t="n">
        <v>46388</v>
      </c>
      <c r="E477" t="n">
        <v>1</v>
      </c>
      <c r="G477" t="n">
        <v>4.386</v>
      </c>
      <c r="H477" t="n">
        <v>1.1896274</v>
      </c>
      <c r="I477" t="n">
        <v>1.20284548</v>
      </c>
      <c r="J477" t="n">
        <v>1.21606356</v>
      </c>
      <c r="K477" t="n">
        <v>1.21606356</v>
      </c>
      <c r="L477" t="n">
        <v>0.77606164</v>
      </c>
      <c r="M477" t="n">
        <v>0.7009589000000001</v>
      </c>
      <c r="N477" t="n">
        <v>0.77606164</v>
      </c>
      <c r="O477" t="n">
        <v>0.7510274</v>
      </c>
      <c r="P477" t="n">
        <v>0.77606164</v>
      </c>
      <c r="Q477" t="n">
        <v>0.7510274</v>
      </c>
      <c r="R477" t="n">
        <v>0.77606164</v>
      </c>
      <c r="S477" t="n">
        <v>0.77606164</v>
      </c>
      <c r="T477" t="n">
        <v>0.7510274</v>
      </c>
      <c r="U477" t="n">
        <v>0.77606164</v>
      </c>
      <c r="V477" t="n">
        <v>0.7510274</v>
      </c>
      <c r="W477" t="n">
        <v>0.77606164</v>
      </c>
      <c r="X477" t="n">
        <v>0.0280384</v>
      </c>
      <c r="Y477" t="n">
        <v>0.02803836</v>
      </c>
      <c r="Z477" t="n">
        <v>0.02803836</v>
      </c>
      <c r="AA477" t="n">
        <v>0.02803836</v>
      </c>
      <c r="AB477" t="n">
        <v>0.02803836</v>
      </c>
      <c r="AC477" t="n">
        <v>0.02803836</v>
      </c>
      <c r="AD477" t="n">
        <v>0.02803836</v>
      </c>
      <c r="AE477" t="n">
        <v>0.02803836</v>
      </c>
      <c r="AF477" t="n">
        <v>0.02803836</v>
      </c>
      <c r="AG477" t="n">
        <v>0.02803836</v>
      </c>
      <c r="AH477" t="n">
        <v>0.02803836</v>
      </c>
      <c r="AI477" t="n">
        <v>0.02803836</v>
      </c>
    </row>
    <row r="478">
      <c r="A478" t="n">
        <v>113</v>
      </c>
      <c r="B478" s="13" t="n">
        <v>46023</v>
      </c>
      <c r="C478" s="13" t="n">
        <v>2958465</v>
      </c>
      <c r="D478" s="13" t="n">
        <v>46023</v>
      </c>
      <c r="E478" t="n">
        <v>1</v>
      </c>
      <c r="G478" t="n">
        <v>2.75512573</v>
      </c>
      <c r="H478" t="n">
        <v>0.81521528</v>
      </c>
      <c r="I478" t="n">
        <v>0.82427323</v>
      </c>
      <c r="J478" t="n">
        <v>0.8333311799999999</v>
      </c>
      <c r="K478" t="n">
        <v>0.8333311799999999</v>
      </c>
      <c r="L478" t="n">
        <v>0.30419607</v>
      </c>
      <c r="M478" t="n">
        <v>0.27475774</v>
      </c>
      <c r="N478" t="n">
        <v>0.30419607</v>
      </c>
      <c r="O478" t="n">
        <v>0.2943833</v>
      </c>
      <c r="P478" t="n">
        <v>0.30419607</v>
      </c>
      <c r="Q478" t="n">
        <v>0.2943833</v>
      </c>
      <c r="R478" t="n">
        <v>0.30419607</v>
      </c>
      <c r="S478" t="n">
        <v>0.30419607</v>
      </c>
      <c r="T478" t="n">
        <v>0.2943833</v>
      </c>
      <c r="U478" t="n">
        <v>0.30419607</v>
      </c>
      <c r="V478" t="n">
        <v>0.2943833</v>
      </c>
      <c r="W478" t="n">
        <v>0.30419607</v>
      </c>
      <c r="X478" t="n">
        <v>0.01132243</v>
      </c>
      <c r="Y478" t="n">
        <v>0.01132243</v>
      </c>
      <c r="Z478" t="n">
        <v>0.01132243</v>
      </c>
      <c r="AA478" t="n">
        <v>0.01132243</v>
      </c>
      <c r="AB478" t="n">
        <v>0.01132243</v>
      </c>
      <c r="AC478" t="n">
        <v>0.01132243</v>
      </c>
      <c r="AD478" t="n">
        <v>0.01132243</v>
      </c>
      <c r="AE478" t="n">
        <v>0.01132243</v>
      </c>
      <c r="AF478" t="n">
        <v>0.01132243</v>
      </c>
      <c r="AG478" t="n">
        <v>0.01132243</v>
      </c>
      <c r="AH478" t="n">
        <v>0.01132243</v>
      </c>
      <c r="AI478" t="n">
        <v>0.01132243</v>
      </c>
    </row>
    <row r="479">
      <c r="A479" t="n">
        <v>114</v>
      </c>
      <c r="B479" s="13" t="n">
        <v>46023</v>
      </c>
      <c r="C479" s="13" t="n">
        <v>2958465</v>
      </c>
      <c r="D479" s="13" t="n">
        <v>46023</v>
      </c>
      <c r="E479" t="n">
        <v>1</v>
      </c>
      <c r="G479" t="n">
        <v>4.60925708</v>
      </c>
      <c r="H479" t="n">
        <v>2.10542023</v>
      </c>
      <c r="I479" t="n">
        <v>1.1261741</v>
      </c>
      <c r="J479" t="n">
        <v>0.91345373</v>
      </c>
      <c r="K479" t="n">
        <v>1.60471601</v>
      </c>
      <c r="L479" t="n">
        <v>1.25882442</v>
      </c>
      <c r="M479" t="n">
        <v>1.01634119</v>
      </c>
      <c r="N479" t="n">
        <v>0.88007607</v>
      </c>
      <c r="O479" t="n">
        <v>0.63503566</v>
      </c>
      <c r="P479" t="n">
        <v>0.58133465</v>
      </c>
      <c r="Q479" t="n">
        <v>0.47236992</v>
      </c>
      <c r="R479" t="n">
        <v>0.46095728</v>
      </c>
      <c r="S479" t="n">
        <v>0.43820302</v>
      </c>
      <c r="T479" t="n">
        <v>0.47094927</v>
      </c>
      <c r="U479" t="n">
        <v>0.5585804</v>
      </c>
      <c r="V479" t="n">
        <v>0.8026737</v>
      </c>
      <c r="W479" t="n">
        <v>1.04522797</v>
      </c>
      <c r="X479" t="n">
        <v>0.04897731</v>
      </c>
      <c r="Y479" t="n">
        <v>0.043784</v>
      </c>
      <c r="Z479" t="n">
        <v>0.0342261</v>
      </c>
      <c r="AA479" t="n">
        <v>0.02552455</v>
      </c>
      <c r="AB479" t="n">
        <v>0.02262403</v>
      </c>
      <c r="AC479" t="n">
        <v>0.0190053</v>
      </c>
      <c r="AD479" t="n">
        <v>0.01792795</v>
      </c>
      <c r="AE479" t="n">
        <v>0.01707161</v>
      </c>
      <c r="AF479" t="n">
        <v>0.01895004</v>
      </c>
      <c r="AG479" t="n">
        <v>0.02174006</v>
      </c>
      <c r="AH479" t="n">
        <v>0.0322648</v>
      </c>
      <c r="AI479" t="n">
        <v>0.04066249</v>
      </c>
    </row>
    <row r="480">
      <c r="A480" t="n">
        <v>115</v>
      </c>
      <c r="B480" s="13" t="n">
        <v>46023</v>
      </c>
      <c r="C480" s="13" t="n">
        <v>2958465</v>
      </c>
      <c r="D480" s="13" t="n">
        <v>46023</v>
      </c>
      <c r="E480" t="n">
        <v>1</v>
      </c>
      <c r="G480" t="n">
        <v>4.60925708</v>
      </c>
      <c r="H480" t="n">
        <v>2.10542023</v>
      </c>
      <c r="I480" t="n">
        <v>1.1261741</v>
      </c>
      <c r="J480" t="n">
        <v>0.91345373</v>
      </c>
      <c r="K480" t="n">
        <v>1.60471601</v>
      </c>
      <c r="L480" t="n">
        <v>1.00705953</v>
      </c>
      <c r="M480" t="n">
        <v>0.81307295</v>
      </c>
      <c r="N480" t="n">
        <v>0.70406086</v>
      </c>
      <c r="O480" t="n">
        <v>0.50802853</v>
      </c>
      <c r="P480" t="n">
        <v>0.46506773</v>
      </c>
      <c r="Q480" t="n">
        <v>0.37789594</v>
      </c>
      <c r="R480" t="n">
        <v>0.36876582</v>
      </c>
      <c r="S480" t="n">
        <v>0.35056242</v>
      </c>
      <c r="T480" t="n">
        <v>0.37675941</v>
      </c>
      <c r="U480" t="n">
        <v>0.44686431</v>
      </c>
      <c r="V480" t="n">
        <v>0.64213897</v>
      </c>
      <c r="W480" t="n">
        <v>0.83618238</v>
      </c>
      <c r="X480" t="n">
        <v>0.03918184</v>
      </c>
      <c r="Y480" t="n">
        <v>0.03502719</v>
      </c>
      <c r="Z480" t="n">
        <v>0.02738088</v>
      </c>
      <c r="AA480" t="n">
        <v>0.02041964</v>
      </c>
      <c r="AB480" t="n">
        <v>0.01809922</v>
      </c>
      <c r="AC480" t="n">
        <v>0.01520423</v>
      </c>
      <c r="AD480" t="n">
        <v>0.01434237</v>
      </c>
      <c r="AE480" t="n">
        <v>0.01365729</v>
      </c>
      <c r="AF480" t="n">
        <v>0.01516004</v>
      </c>
      <c r="AG480" t="n">
        <v>0.01739206</v>
      </c>
      <c r="AH480" t="n">
        <v>0.02581184</v>
      </c>
      <c r="AI480" t="n">
        <v>0.03252999</v>
      </c>
    </row>
    <row r="481">
      <c r="A481" t="n">
        <v>116</v>
      </c>
      <c r="B481" s="13" t="n">
        <v>45658</v>
      </c>
      <c r="C481" s="13" t="n">
        <v>46022</v>
      </c>
      <c r="D481" s="13" t="n">
        <v>45658</v>
      </c>
      <c r="E481" t="n">
        <v>0</v>
      </c>
      <c r="F481" s="13" t="n">
        <v>46022</v>
      </c>
      <c r="G481" t="n">
        <v>3.426</v>
      </c>
      <c r="H481" t="n">
        <v>0.929</v>
      </c>
      <c r="I481" t="n">
        <v>0.9399999999999999</v>
      </c>
      <c r="J481" t="n">
        <v>0.95</v>
      </c>
      <c r="K481" t="n">
        <v>0.95</v>
      </c>
      <c r="L481" t="n">
        <v>0.364</v>
      </c>
      <c r="M481" t="n">
        <v>0.329</v>
      </c>
      <c r="N481" t="n">
        <v>0.364</v>
      </c>
      <c r="O481" t="n">
        <v>0.352</v>
      </c>
      <c r="P481" t="n">
        <v>0.364</v>
      </c>
      <c r="Q481" t="n">
        <v>0.352</v>
      </c>
      <c r="R481" t="n">
        <v>0.364</v>
      </c>
      <c r="S481" t="n">
        <v>0.364</v>
      </c>
      <c r="T481" t="n">
        <v>0.354</v>
      </c>
      <c r="U481" t="n">
        <v>0.364</v>
      </c>
      <c r="V481" t="n">
        <v>0.352</v>
      </c>
      <c r="W481" t="n">
        <v>0.364</v>
      </c>
      <c r="X481" t="n">
        <v>0.014</v>
      </c>
      <c r="Y481" t="n">
        <v>0.014</v>
      </c>
      <c r="Z481" t="n">
        <v>0.014</v>
      </c>
      <c r="AA481" t="n">
        <v>0.014</v>
      </c>
      <c r="AB481" t="n">
        <v>0.014</v>
      </c>
      <c r="AC481" t="n">
        <v>0.014</v>
      </c>
      <c r="AD481" t="n">
        <v>0.014</v>
      </c>
      <c r="AE481" t="n">
        <v>0.014</v>
      </c>
      <c r="AF481" t="n">
        <v>0.014</v>
      </c>
      <c r="AG481" t="n">
        <v>0.014</v>
      </c>
      <c r="AH481" t="n">
        <v>0.014</v>
      </c>
      <c r="AI481" t="n">
        <v>0.014</v>
      </c>
    </row>
    <row r="482">
      <c r="A482" t="n">
        <v>116</v>
      </c>
      <c r="B482" s="13" t="n">
        <v>46023</v>
      </c>
      <c r="C482" s="13" t="n">
        <v>46387</v>
      </c>
      <c r="D482" s="13" t="n">
        <v>46023</v>
      </c>
      <c r="E482" t="n">
        <v>0</v>
      </c>
      <c r="F482" s="13" t="n">
        <v>46387</v>
      </c>
      <c r="G482" t="n">
        <v>3.42648</v>
      </c>
      <c r="H482" t="n">
        <v>0.92928</v>
      </c>
      <c r="I482" t="n">
        <v>0.9396</v>
      </c>
      <c r="J482" t="n">
        <v>0.94992</v>
      </c>
      <c r="K482" t="n">
        <v>0.94992</v>
      </c>
      <c r="L482" t="n">
        <v>0.36384</v>
      </c>
      <c r="M482" t="n">
        <v>0.32856</v>
      </c>
      <c r="N482" t="n">
        <v>0.36384</v>
      </c>
      <c r="O482" t="n">
        <v>0.35208</v>
      </c>
      <c r="P482" t="n">
        <v>0.36384</v>
      </c>
      <c r="Q482" t="n">
        <v>0.35208</v>
      </c>
      <c r="R482" t="n">
        <v>0.36384</v>
      </c>
      <c r="S482" t="n">
        <v>0.36384</v>
      </c>
      <c r="T482" t="n">
        <v>0.35424</v>
      </c>
      <c r="U482" t="n">
        <v>0.36384</v>
      </c>
      <c r="V482" t="n">
        <v>0.35208</v>
      </c>
      <c r="W482" t="n">
        <v>0.36384</v>
      </c>
      <c r="X482" t="n">
        <v>0.01416</v>
      </c>
      <c r="Y482" t="n">
        <v>0.01416</v>
      </c>
      <c r="Z482" t="n">
        <v>0.01416</v>
      </c>
      <c r="AA482" t="n">
        <v>0.01416</v>
      </c>
      <c r="AB482" t="n">
        <v>0.01416</v>
      </c>
      <c r="AC482" t="n">
        <v>0.01416</v>
      </c>
      <c r="AD482" t="n">
        <v>0.01416</v>
      </c>
      <c r="AE482" t="n">
        <v>0.01416</v>
      </c>
      <c r="AF482" t="n">
        <v>0.01416</v>
      </c>
      <c r="AG482" t="n">
        <v>0.01416</v>
      </c>
      <c r="AH482" t="n">
        <v>0.01416</v>
      </c>
      <c r="AI482" t="n">
        <v>0.01416</v>
      </c>
    </row>
    <row r="483">
      <c r="A483" t="n">
        <v>116</v>
      </c>
      <c r="B483" s="13" t="n">
        <v>46388</v>
      </c>
      <c r="C483" s="13" t="n">
        <v>2958465</v>
      </c>
      <c r="D483" s="13" t="n">
        <v>46388</v>
      </c>
      <c r="E483" t="n">
        <v>1</v>
      </c>
      <c r="G483" t="n">
        <v>3.42648</v>
      </c>
      <c r="H483" t="n">
        <v>0.92928</v>
      </c>
      <c r="I483" t="n">
        <v>0.9396</v>
      </c>
      <c r="J483" t="n">
        <v>0.94992</v>
      </c>
      <c r="K483" t="n">
        <v>0.94992</v>
      </c>
      <c r="L483" t="n">
        <v>0.36384</v>
      </c>
      <c r="M483" t="n">
        <v>0.32856</v>
      </c>
      <c r="N483" t="n">
        <v>0.36384</v>
      </c>
      <c r="O483" t="n">
        <v>0.35208</v>
      </c>
      <c r="P483" t="n">
        <v>0.36384</v>
      </c>
      <c r="Q483" t="n">
        <v>0.35208</v>
      </c>
      <c r="R483" t="n">
        <v>0.36384</v>
      </c>
      <c r="S483" t="n">
        <v>0.36384</v>
      </c>
      <c r="T483" t="n">
        <v>0.35424</v>
      </c>
      <c r="U483" t="n">
        <v>0.36384</v>
      </c>
      <c r="V483" t="n">
        <v>0.35208</v>
      </c>
      <c r="W483" t="n">
        <v>0.36384</v>
      </c>
      <c r="X483" t="n">
        <v>0.01416</v>
      </c>
      <c r="Y483" t="n">
        <v>0.01416</v>
      </c>
      <c r="Z483" t="n">
        <v>0.01416</v>
      </c>
      <c r="AA483" t="n">
        <v>0.01416</v>
      </c>
      <c r="AB483" t="n">
        <v>0.01416</v>
      </c>
      <c r="AC483" t="n">
        <v>0.01416</v>
      </c>
      <c r="AD483" t="n">
        <v>0.01416</v>
      </c>
      <c r="AE483" t="n">
        <v>0.01416</v>
      </c>
      <c r="AF483" t="n">
        <v>0.01416</v>
      </c>
      <c r="AG483" t="n">
        <v>0.01416</v>
      </c>
      <c r="AH483" t="n">
        <v>0.01416</v>
      </c>
      <c r="AI483" t="n">
        <v>0.01416</v>
      </c>
    </row>
    <row r="484">
      <c r="A484" t="n">
        <v>117</v>
      </c>
      <c r="B484" s="13" t="n">
        <v>45658</v>
      </c>
      <c r="C484" s="13" t="n">
        <v>46022</v>
      </c>
      <c r="D484" s="13" t="n">
        <v>45658</v>
      </c>
      <c r="E484" t="n">
        <v>0</v>
      </c>
      <c r="F484" s="13" t="n">
        <v>46022</v>
      </c>
      <c r="G484" t="n">
        <v>0.2761</v>
      </c>
      <c r="H484" t="n">
        <v>0.112331</v>
      </c>
      <c r="I484" t="n">
        <v>0.054039</v>
      </c>
      <c r="J484" t="n">
        <v>0.049063</v>
      </c>
      <c r="K484" t="n">
        <v>0.107871</v>
      </c>
      <c r="L484" t="n">
        <v>0.053083</v>
      </c>
      <c r="M484" t="n">
        <v>0.038523</v>
      </c>
      <c r="N484" t="n">
        <v>0.035563</v>
      </c>
      <c r="O484" t="n">
        <v>0.023613</v>
      </c>
      <c r="P484" t="n">
        <v>0.018958</v>
      </c>
      <c r="Q484" t="n">
        <v>0.014783</v>
      </c>
      <c r="R484" t="n">
        <v>0.01566</v>
      </c>
      <c r="S484" t="n">
        <v>0.017852</v>
      </c>
      <c r="T484" t="n">
        <v>0.019332</v>
      </c>
      <c r="U484" t="n">
        <v>0.035277</v>
      </c>
      <c r="V484" t="n">
        <v>0.04152</v>
      </c>
      <c r="W484" t="n">
        <v>0.052513</v>
      </c>
      <c r="X484" t="n">
        <v>0.003293</v>
      </c>
      <c r="Y484" t="n">
        <v>0.002646</v>
      </c>
      <c r="Z484" t="n">
        <v>0.002206</v>
      </c>
      <c r="AA484" t="n">
        <v>0.001514</v>
      </c>
      <c r="AB484" t="n">
        <v>0.001176</v>
      </c>
      <c r="AC484" t="n">
        <v>0.0009479999999999999</v>
      </c>
      <c r="AD484" t="n">
        <v>0.000971</v>
      </c>
      <c r="AE484" t="n">
        <v>0.001107</v>
      </c>
      <c r="AF484" t="n">
        <v>0.001239</v>
      </c>
      <c r="AG484" t="n">
        <v>0.002188</v>
      </c>
      <c r="AH484" t="n">
        <v>0.002662</v>
      </c>
      <c r="AI484" t="n">
        <v>0.003258</v>
      </c>
    </row>
    <row r="485">
      <c r="A485" t="n">
        <v>117</v>
      </c>
      <c r="B485" s="13" t="n">
        <v>46023</v>
      </c>
      <c r="C485" s="13" t="n">
        <v>46387</v>
      </c>
      <c r="D485" s="13" t="n">
        <v>46023</v>
      </c>
      <c r="E485" t="n">
        <v>0</v>
      </c>
      <c r="F485" s="13" t="n">
        <v>46387</v>
      </c>
      <c r="G485" t="n">
        <v>0.3568</v>
      </c>
      <c r="H485" t="n">
        <v>0.145164</v>
      </c>
      <c r="I485" t="n">
        <v>0.084511</v>
      </c>
      <c r="J485" t="n">
        <v>0.09893</v>
      </c>
      <c r="K485" t="n">
        <v>0.14839</v>
      </c>
      <c r="L485" t="n">
        <v>0.063638</v>
      </c>
      <c r="M485" t="n">
        <v>0.046531</v>
      </c>
      <c r="N485" t="n">
        <v>0.042424</v>
      </c>
      <c r="O485" t="n">
        <v>0.03226</v>
      </c>
      <c r="P485" t="n">
        <v>0.027272</v>
      </c>
      <c r="Q485" t="n">
        <v>0.024925</v>
      </c>
      <c r="R485" t="n">
        <v>0.02879</v>
      </c>
      <c r="S485" t="n">
        <v>0.030302</v>
      </c>
      <c r="T485" t="n">
        <v>0.035192</v>
      </c>
      <c r="U485" t="n">
        <v>0.042424</v>
      </c>
      <c r="V485" t="n">
        <v>0.049855</v>
      </c>
      <c r="W485" t="n">
        <v>0.063638</v>
      </c>
      <c r="X485" t="n">
        <v>0.003948</v>
      </c>
      <c r="Y485" t="n">
        <v>0.003196</v>
      </c>
      <c r="Z485" t="n">
        <v>0.002632</v>
      </c>
      <c r="AA485" t="n">
        <v>0.002068</v>
      </c>
      <c r="AB485" t="n">
        <v>0.001692</v>
      </c>
      <c r="AC485" t="n">
        <v>0.001598</v>
      </c>
      <c r="AD485" t="n">
        <v>0.001786</v>
      </c>
      <c r="AE485" t="n">
        <v>0.00188</v>
      </c>
      <c r="AF485" t="n">
        <v>0.002256</v>
      </c>
      <c r="AG485" t="n">
        <v>0.002632</v>
      </c>
      <c r="AH485" t="n">
        <v>0.003196</v>
      </c>
      <c r="AI485" t="n">
        <v>0.003948</v>
      </c>
    </row>
    <row r="486">
      <c r="A486" t="n">
        <v>117</v>
      </c>
      <c r="B486" s="13" t="n">
        <v>46388</v>
      </c>
      <c r="C486" s="13" t="n">
        <v>46752</v>
      </c>
      <c r="D486" s="13" t="n">
        <v>46388</v>
      </c>
      <c r="E486" t="n">
        <v>0</v>
      </c>
      <c r="F486" s="13" t="n">
        <v>46752</v>
      </c>
      <c r="G486" t="n">
        <v>0.3203</v>
      </c>
      <c r="H486" t="n">
        <v>0.13031384</v>
      </c>
      <c r="I486" t="n">
        <v>0.07586603</v>
      </c>
      <c r="J486" t="n">
        <v>0.08880970000000001</v>
      </c>
      <c r="K486" t="n">
        <v>0.1332097</v>
      </c>
      <c r="L486" t="n">
        <v>0.05712802</v>
      </c>
      <c r="M486" t="n">
        <v>0.04177088</v>
      </c>
      <c r="N486" t="n">
        <v>0.03808417</v>
      </c>
      <c r="O486" t="n">
        <v>0.02896021</v>
      </c>
      <c r="P486" t="n">
        <v>0.02448293</v>
      </c>
      <c r="Q486" t="n">
        <v>0.02237554</v>
      </c>
      <c r="R486" t="n">
        <v>0.02584447</v>
      </c>
      <c r="S486" t="n">
        <v>0.02720247</v>
      </c>
      <c r="T486" t="n">
        <v>0.03159202</v>
      </c>
      <c r="U486" t="n">
        <v>0.03808417</v>
      </c>
      <c r="V486" t="n">
        <v>0.04475451</v>
      </c>
      <c r="W486" t="n">
        <v>0.05712802</v>
      </c>
      <c r="X486" t="n">
        <v>0.00354392</v>
      </c>
      <c r="Y486" t="n">
        <v>0.00286888</v>
      </c>
      <c r="Z486" t="n">
        <v>0.00236254</v>
      </c>
      <c r="AA486" t="n">
        <v>0.00185642</v>
      </c>
      <c r="AB486" t="n">
        <v>0.00151879</v>
      </c>
      <c r="AC486" t="n">
        <v>0.00143433</v>
      </c>
      <c r="AD486" t="n">
        <v>0.00160326</v>
      </c>
      <c r="AE486" t="n">
        <v>0.0016875</v>
      </c>
      <c r="AF486" t="n">
        <v>0.00202513</v>
      </c>
      <c r="AG486" t="n">
        <v>0.00236254</v>
      </c>
      <c r="AH486" t="n">
        <v>0.00286888</v>
      </c>
      <c r="AI486" t="n">
        <v>0.00354392</v>
      </c>
    </row>
    <row r="487">
      <c r="A487" t="n">
        <v>117</v>
      </c>
      <c r="B487" s="13" t="n">
        <v>46753</v>
      </c>
      <c r="C487" s="13" t="n">
        <v>47118</v>
      </c>
      <c r="D487" s="13" t="n">
        <v>46753</v>
      </c>
      <c r="E487" t="n">
        <v>0</v>
      </c>
      <c r="F487" s="13" t="n">
        <v>47118</v>
      </c>
      <c r="G487" t="n">
        <v>0.2658</v>
      </c>
      <c r="H487" t="n">
        <v>0.10814055</v>
      </c>
      <c r="I487" t="n">
        <v>0.0629572</v>
      </c>
      <c r="J487" t="n">
        <v>0.07369845999999999</v>
      </c>
      <c r="K487" t="n">
        <v>0.11054367</v>
      </c>
      <c r="L487" t="n">
        <v>0.04740752</v>
      </c>
      <c r="M487" t="n">
        <v>0.03466344</v>
      </c>
      <c r="N487" t="n">
        <v>0.03160404</v>
      </c>
      <c r="O487" t="n">
        <v>0.02403254</v>
      </c>
      <c r="P487" t="n">
        <v>0.02031709</v>
      </c>
      <c r="Q487" t="n">
        <v>0.01856828</v>
      </c>
      <c r="R487" t="n">
        <v>0.02144696</v>
      </c>
      <c r="S487" t="n">
        <v>0.02257389</v>
      </c>
      <c r="T487" t="n">
        <v>0.02621655</v>
      </c>
      <c r="U487" t="n">
        <v>0.03160404</v>
      </c>
      <c r="V487" t="n">
        <v>0.0371394</v>
      </c>
      <c r="W487" t="n">
        <v>0.04740752</v>
      </c>
      <c r="X487" t="n">
        <v>0.00294091</v>
      </c>
      <c r="Y487" t="n">
        <v>0.00238073</v>
      </c>
      <c r="Z487" t="n">
        <v>0.00196055</v>
      </c>
      <c r="AA487" t="n">
        <v>0.00154055</v>
      </c>
      <c r="AB487" t="n">
        <v>0.00126037</v>
      </c>
      <c r="AC487" t="n">
        <v>0.00119027</v>
      </c>
      <c r="AD487" t="n">
        <v>0.00133046</v>
      </c>
      <c r="AE487" t="n">
        <v>0.00140037</v>
      </c>
      <c r="AF487" t="n">
        <v>0.00168055</v>
      </c>
      <c r="AG487" t="n">
        <v>0.00196055</v>
      </c>
      <c r="AH487" t="n">
        <v>0.00238073</v>
      </c>
      <c r="AI487" t="n">
        <v>0.00294091</v>
      </c>
    </row>
    <row r="488">
      <c r="A488" t="n">
        <v>117</v>
      </c>
      <c r="B488" s="13" t="n">
        <v>47119</v>
      </c>
      <c r="C488" s="13" t="n">
        <v>47483</v>
      </c>
      <c r="D488" s="13" t="n">
        <v>47119</v>
      </c>
      <c r="E488" t="n">
        <v>0</v>
      </c>
      <c r="F488" s="13" t="n">
        <v>47483</v>
      </c>
      <c r="G488" t="n">
        <v>0.2231</v>
      </c>
      <c r="H488" t="n">
        <v>0.09076808</v>
      </c>
      <c r="I488" t="n">
        <v>0.05284331</v>
      </c>
      <c r="J488" t="n">
        <v>0.06185902</v>
      </c>
      <c r="K488" t="n">
        <v>0.09278515</v>
      </c>
      <c r="L488" t="n">
        <v>0.03979164</v>
      </c>
      <c r="M488" t="n">
        <v>0.02909486</v>
      </c>
      <c r="N488" t="n">
        <v>0.02652694</v>
      </c>
      <c r="O488" t="n">
        <v>0.02017179</v>
      </c>
      <c r="P488" t="n">
        <v>0.01705321</v>
      </c>
      <c r="Q488" t="n">
        <v>0.01558534</v>
      </c>
      <c r="R488" t="n">
        <v>0.01800157</v>
      </c>
      <c r="S488" t="n">
        <v>0.01894746</v>
      </c>
      <c r="T488" t="n">
        <v>0.02200493</v>
      </c>
      <c r="U488" t="n">
        <v>0.02652694</v>
      </c>
      <c r="V488" t="n">
        <v>0.03117306</v>
      </c>
      <c r="W488" t="n">
        <v>0.03979164</v>
      </c>
      <c r="X488" t="n">
        <v>0.00246846</v>
      </c>
      <c r="Y488" t="n">
        <v>0.00199827</v>
      </c>
      <c r="Z488" t="n">
        <v>0.00164559</v>
      </c>
      <c r="AA488" t="n">
        <v>0.00129306</v>
      </c>
      <c r="AB488" t="n">
        <v>0.00105789</v>
      </c>
      <c r="AC488" t="n">
        <v>0.00099906</v>
      </c>
      <c r="AD488" t="n">
        <v>0.00111672</v>
      </c>
      <c r="AE488" t="n">
        <v>0.0011754</v>
      </c>
      <c r="AF488" t="n">
        <v>0.00141057</v>
      </c>
      <c r="AG488" t="n">
        <v>0.00164559</v>
      </c>
      <c r="AH488" t="n">
        <v>0.00199827</v>
      </c>
      <c r="AI488" t="n">
        <v>0.00246846</v>
      </c>
    </row>
    <row r="489">
      <c r="A489" t="n">
        <v>117</v>
      </c>
      <c r="B489" s="13" t="n">
        <v>47484</v>
      </c>
      <c r="C489" s="13" t="n">
        <v>2958465</v>
      </c>
      <c r="D489" s="13" t="n">
        <v>47484</v>
      </c>
      <c r="E489" t="n">
        <v>1</v>
      </c>
      <c r="G489" t="n">
        <v>0.2306</v>
      </c>
      <c r="H489" t="n">
        <v>0.09381945</v>
      </c>
      <c r="I489" t="n">
        <v>0.05461975</v>
      </c>
      <c r="J489" t="n">
        <v>0.06393854</v>
      </c>
      <c r="K489" t="n">
        <v>0.09590433</v>
      </c>
      <c r="L489" t="n">
        <v>0.04112932</v>
      </c>
      <c r="M489" t="n">
        <v>0.03007294</v>
      </c>
      <c r="N489" t="n">
        <v>0.0274187</v>
      </c>
      <c r="O489" t="n">
        <v>0.0208499</v>
      </c>
      <c r="P489" t="n">
        <v>0.01762649</v>
      </c>
      <c r="Q489" t="n">
        <v>0.01610927</v>
      </c>
      <c r="R489" t="n">
        <v>0.01860673</v>
      </c>
      <c r="S489" t="n">
        <v>0.01958442</v>
      </c>
      <c r="T489" t="n">
        <v>0.02274468</v>
      </c>
      <c r="U489" t="n">
        <v>0.0274187</v>
      </c>
      <c r="V489" t="n">
        <v>0.03222101</v>
      </c>
      <c r="W489" t="n">
        <v>0.04112932</v>
      </c>
      <c r="X489" t="n">
        <v>0.00255145</v>
      </c>
      <c r="Y489" t="n">
        <v>0.00206545</v>
      </c>
      <c r="Z489" t="n">
        <v>0.00170091</v>
      </c>
      <c r="AA489" t="n">
        <v>0.00133653</v>
      </c>
      <c r="AB489" t="n">
        <v>0.00109345</v>
      </c>
      <c r="AC489" t="n">
        <v>0.00103265</v>
      </c>
      <c r="AD489" t="n">
        <v>0.00115426</v>
      </c>
      <c r="AE489" t="n">
        <v>0.00121491</v>
      </c>
      <c r="AF489" t="n">
        <v>0.00145799</v>
      </c>
      <c r="AG489" t="n">
        <v>0.00170091</v>
      </c>
      <c r="AH489" t="n">
        <v>0.00206545</v>
      </c>
      <c r="AI489" t="n">
        <v>0.00255145</v>
      </c>
    </row>
    <row r="490">
      <c r="A490" t="n">
        <v>118</v>
      </c>
      <c r="B490" s="13" t="n">
        <v>46023</v>
      </c>
      <c r="C490" s="13" t="n">
        <v>2958465</v>
      </c>
      <c r="D490" s="13" t="n">
        <v>46023</v>
      </c>
      <c r="E490" t="n">
        <v>1</v>
      </c>
      <c r="G490" t="n">
        <v>2.84481</v>
      </c>
      <c r="H490" t="n">
        <v>0.8417519999999999</v>
      </c>
      <c r="I490" t="n">
        <v>0.8511048</v>
      </c>
      <c r="J490" t="n">
        <v>0.8604576</v>
      </c>
      <c r="K490" t="n">
        <v>0.8604576</v>
      </c>
      <c r="L490" t="n">
        <v>0.3140982</v>
      </c>
      <c r="M490" t="n">
        <v>0.3140982</v>
      </c>
      <c r="N490" t="n">
        <v>0.3140982</v>
      </c>
      <c r="O490" t="n">
        <v>0.3140982</v>
      </c>
      <c r="P490" t="n">
        <v>0.3140982</v>
      </c>
      <c r="Q490" t="n">
        <v>0.3140982</v>
      </c>
      <c r="R490" t="n">
        <v>0.3140982</v>
      </c>
      <c r="S490" t="n">
        <v>0.3140982</v>
      </c>
      <c r="T490" t="n">
        <v>0.3140982</v>
      </c>
      <c r="U490" t="n">
        <v>0.3140982</v>
      </c>
      <c r="V490" t="n">
        <v>0.3140982</v>
      </c>
      <c r="W490" t="n">
        <v>0.3140982</v>
      </c>
      <c r="X490" t="n">
        <v>0.011691</v>
      </c>
      <c r="Y490" t="n">
        <v>0.011691</v>
      </c>
      <c r="Z490" t="n">
        <v>0.011691</v>
      </c>
      <c r="AA490" t="n">
        <v>0.011691</v>
      </c>
      <c r="AB490" t="n">
        <v>0.011691</v>
      </c>
      <c r="AC490" t="n">
        <v>0.011691</v>
      </c>
      <c r="AD490" t="n">
        <v>0.011691</v>
      </c>
      <c r="AE490" t="n">
        <v>0.011691</v>
      </c>
      <c r="AF490" t="n">
        <v>0.011691</v>
      </c>
      <c r="AG490" t="n">
        <v>0.011691</v>
      </c>
      <c r="AH490" t="n">
        <v>0.011691</v>
      </c>
      <c r="AI490" t="n">
        <v>0.011691</v>
      </c>
    </row>
    <row r="491">
      <c r="A491" t="n">
        <v>119</v>
      </c>
      <c r="B491" s="13" t="n">
        <v>46023</v>
      </c>
      <c r="C491" s="13" t="n">
        <v>2958465</v>
      </c>
      <c r="D491" s="13" t="n">
        <v>46023</v>
      </c>
      <c r="E491" t="n">
        <v>1</v>
      </c>
      <c r="G491" t="n">
        <v>3.54415</v>
      </c>
      <c r="H491" t="n">
        <v>1.04868</v>
      </c>
      <c r="I491" t="n">
        <v>1.060332</v>
      </c>
      <c r="J491" t="n">
        <v>1.071984</v>
      </c>
      <c r="K491" t="n">
        <v>1.071984</v>
      </c>
      <c r="L491" t="n">
        <v>0.391313</v>
      </c>
      <c r="M491" t="n">
        <v>0.391313</v>
      </c>
      <c r="N491" t="n">
        <v>0.391313</v>
      </c>
      <c r="O491" t="n">
        <v>0.391313</v>
      </c>
      <c r="P491" t="n">
        <v>0.391313</v>
      </c>
      <c r="Q491" t="n">
        <v>0.391313</v>
      </c>
      <c r="R491" t="n">
        <v>0.391313</v>
      </c>
      <c r="S491" t="n">
        <v>0.391313</v>
      </c>
      <c r="T491" t="n">
        <v>0.391313</v>
      </c>
      <c r="U491" t="n">
        <v>0.391313</v>
      </c>
      <c r="V491" t="n">
        <v>0.391313</v>
      </c>
      <c r="W491" t="n">
        <v>0.391313</v>
      </c>
      <c r="X491" t="n">
        <v>0.014565</v>
      </c>
      <c r="Y491" t="n">
        <v>0.014565</v>
      </c>
      <c r="Z491" t="n">
        <v>0.014565</v>
      </c>
      <c r="AA491" t="n">
        <v>0.014565</v>
      </c>
      <c r="AB491" t="n">
        <v>0.014565</v>
      </c>
      <c r="AC491" t="n">
        <v>0.014565</v>
      </c>
      <c r="AD491" t="n">
        <v>0.014565</v>
      </c>
      <c r="AE491" t="n">
        <v>0.014565</v>
      </c>
      <c r="AF491" t="n">
        <v>0.014565</v>
      </c>
      <c r="AG491" t="n">
        <v>0.014565</v>
      </c>
      <c r="AH491" t="n">
        <v>0.014565</v>
      </c>
      <c r="AI491" t="n">
        <v>0.014565</v>
      </c>
    </row>
    <row r="492">
      <c r="A492" t="n">
        <v>120</v>
      </c>
      <c r="B492" s="13" t="n">
        <v>46023</v>
      </c>
      <c r="C492" s="13" t="n">
        <v>2958465</v>
      </c>
      <c r="D492" s="13" t="n">
        <v>46023</v>
      </c>
      <c r="E492" t="n">
        <v>1</v>
      </c>
      <c r="G492" t="n">
        <v>2.523245</v>
      </c>
      <c r="H492" t="n">
        <v>0.746604</v>
      </c>
      <c r="I492" t="n">
        <v>0.7548996</v>
      </c>
      <c r="J492" t="n">
        <v>0.7631952</v>
      </c>
      <c r="K492" t="n">
        <v>0.7631952</v>
      </c>
      <c r="L492" t="n">
        <v>0.2785939</v>
      </c>
      <c r="M492" t="n">
        <v>0.2785939</v>
      </c>
      <c r="N492" t="n">
        <v>0.2785939</v>
      </c>
      <c r="O492" t="n">
        <v>0.2785939</v>
      </c>
      <c r="P492" t="n">
        <v>0.2785939</v>
      </c>
      <c r="Q492" t="n">
        <v>0.2785939</v>
      </c>
      <c r="R492" t="n">
        <v>0.2785939</v>
      </c>
      <c r="S492" t="n">
        <v>0.2785939</v>
      </c>
      <c r="T492" t="n">
        <v>0.2785939</v>
      </c>
      <c r="U492" t="n">
        <v>0.2785939</v>
      </c>
      <c r="V492" t="n">
        <v>0.2785939</v>
      </c>
      <c r="W492" t="n">
        <v>0.2785939</v>
      </c>
      <c r="X492" t="n">
        <v>0.0103695</v>
      </c>
      <c r="Y492" t="n">
        <v>0.0103695</v>
      </c>
      <c r="Z492" t="n">
        <v>0.0103695</v>
      </c>
      <c r="AA492" t="n">
        <v>0.0103695</v>
      </c>
      <c r="AB492" t="n">
        <v>0.0103695</v>
      </c>
      <c r="AC492" t="n">
        <v>0.0103695</v>
      </c>
      <c r="AD492" t="n">
        <v>0.0103695</v>
      </c>
      <c r="AE492" t="n">
        <v>0.0103695</v>
      </c>
      <c r="AF492" t="n">
        <v>0.0103695</v>
      </c>
      <c r="AG492" t="n">
        <v>0.0103695</v>
      </c>
      <c r="AH492" t="n">
        <v>0.0103695</v>
      </c>
      <c r="AI492" t="n">
        <v>0.0103695</v>
      </c>
    </row>
    <row r="493">
      <c r="A493" t="n">
        <v>121</v>
      </c>
      <c r="B493" s="13" t="n">
        <v>46023</v>
      </c>
      <c r="C493" s="13" t="n">
        <v>46387</v>
      </c>
      <c r="D493" s="13" t="n">
        <v>46023</v>
      </c>
      <c r="E493" t="n">
        <v>0</v>
      </c>
      <c r="F493" s="13" t="n">
        <v>46387</v>
      </c>
      <c r="G493" t="n">
        <v>4.236</v>
      </c>
      <c r="H493" t="n">
        <v>1.14894247</v>
      </c>
      <c r="I493" t="n">
        <v>1.16170849</v>
      </c>
      <c r="J493" t="n">
        <v>1.17447452</v>
      </c>
      <c r="K493" t="n">
        <v>1.17447452</v>
      </c>
      <c r="L493" t="n">
        <v>0.74952055</v>
      </c>
      <c r="M493" t="n">
        <v>0.6769863</v>
      </c>
      <c r="N493" t="n">
        <v>0.74952055</v>
      </c>
      <c r="O493" t="n">
        <v>0.72534247</v>
      </c>
      <c r="P493" t="n">
        <v>0.74952055</v>
      </c>
      <c r="Q493" t="n">
        <v>0.72534247</v>
      </c>
      <c r="R493" t="n">
        <v>0.74952055</v>
      </c>
      <c r="S493" t="n">
        <v>0.74952055</v>
      </c>
      <c r="T493" t="n">
        <v>0.72534247</v>
      </c>
      <c r="U493" t="n">
        <v>0.74952055</v>
      </c>
      <c r="V493" t="n">
        <v>0.72534247</v>
      </c>
      <c r="W493" t="n">
        <v>0.74952055</v>
      </c>
      <c r="X493" t="n">
        <v>0.02707945</v>
      </c>
      <c r="Y493" t="n">
        <v>0.02707945</v>
      </c>
      <c r="Z493" t="n">
        <v>0.02707945</v>
      </c>
      <c r="AA493" t="n">
        <v>0.02707945</v>
      </c>
      <c r="AB493" t="n">
        <v>0.02707945</v>
      </c>
      <c r="AC493" t="n">
        <v>0.02707945</v>
      </c>
      <c r="AD493" t="n">
        <v>0.02707945</v>
      </c>
      <c r="AE493" t="n">
        <v>0.02707945</v>
      </c>
      <c r="AF493" t="n">
        <v>0.02707945</v>
      </c>
      <c r="AG493" t="n">
        <v>0.02707945</v>
      </c>
      <c r="AH493" t="n">
        <v>0.02707945</v>
      </c>
      <c r="AI493" t="n">
        <v>0.02707945</v>
      </c>
    </row>
    <row r="494">
      <c r="A494" t="n">
        <v>121</v>
      </c>
      <c r="B494" s="13" t="n">
        <v>46388</v>
      </c>
      <c r="C494" s="13" t="n">
        <v>2958465</v>
      </c>
      <c r="D494" s="13" t="n">
        <v>46388</v>
      </c>
      <c r="E494" t="n">
        <v>1</v>
      </c>
      <c r="G494" t="n">
        <v>4.386</v>
      </c>
      <c r="H494" t="n">
        <v>1.1896274</v>
      </c>
      <c r="I494" t="n">
        <v>1.20284548</v>
      </c>
      <c r="J494" t="n">
        <v>1.21606356</v>
      </c>
      <c r="K494" t="n">
        <v>1.21606356</v>
      </c>
      <c r="L494" t="n">
        <v>0.77606164</v>
      </c>
      <c r="M494" t="n">
        <v>0.7009589000000001</v>
      </c>
      <c r="N494" t="n">
        <v>0.77606164</v>
      </c>
      <c r="O494" t="n">
        <v>0.7510274</v>
      </c>
      <c r="P494" t="n">
        <v>0.77606164</v>
      </c>
      <c r="Q494" t="n">
        <v>0.7510274</v>
      </c>
      <c r="R494" t="n">
        <v>0.77606164</v>
      </c>
      <c r="S494" t="n">
        <v>0.77606164</v>
      </c>
      <c r="T494" t="n">
        <v>0.7510274</v>
      </c>
      <c r="U494" t="n">
        <v>0.77606164</v>
      </c>
      <c r="V494" t="n">
        <v>0.7510274</v>
      </c>
      <c r="W494" t="n">
        <v>0.77606164</v>
      </c>
      <c r="X494" t="n">
        <v>0.0280384</v>
      </c>
      <c r="Y494" t="n">
        <v>0.02803836</v>
      </c>
      <c r="Z494" t="n">
        <v>0.02803836</v>
      </c>
      <c r="AA494" t="n">
        <v>0.02803836</v>
      </c>
      <c r="AB494" t="n">
        <v>0.02803836</v>
      </c>
      <c r="AC494" t="n">
        <v>0.02803836</v>
      </c>
      <c r="AD494" t="n">
        <v>0.02803836</v>
      </c>
      <c r="AE494" t="n">
        <v>0.02803836</v>
      </c>
      <c r="AF494" t="n">
        <v>0.02803836</v>
      </c>
      <c r="AG494" t="n">
        <v>0.02803836</v>
      </c>
      <c r="AH494" t="n">
        <v>0.02803836</v>
      </c>
      <c r="AI494" t="n">
        <v>0.02803836</v>
      </c>
    </row>
    <row r="495">
      <c r="A495" t="n">
        <v>122</v>
      </c>
      <c r="B495" s="13" t="n">
        <v>46023</v>
      </c>
      <c r="C495" s="13" t="n">
        <v>46387</v>
      </c>
      <c r="D495" s="13" t="n">
        <v>46023</v>
      </c>
      <c r="E495" t="n">
        <v>0</v>
      </c>
      <c r="F495" s="13" t="n">
        <v>46387</v>
      </c>
      <c r="G495" t="n">
        <v>4.236</v>
      </c>
      <c r="H495" t="n">
        <v>1.14894247</v>
      </c>
      <c r="I495" t="n">
        <v>1.16170849</v>
      </c>
      <c r="J495" t="n">
        <v>1.17447452</v>
      </c>
      <c r="K495" t="n">
        <v>1.17447452</v>
      </c>
      <c r="L495" t="n">
        <v>0.74952055</v>
      </c>
      <c r="M495" t="n">
        <v>0.70116438</v>
      </c>
      <c r="N495" t="n">
        <v>0.74952055</v>
      </c>
      <c r="O495" t="n">
        <v>0.72534247</v>
      </c>
      <c r="P495" t="n">
        <v>0.74952055</v>
      </c>
      <c r="Q495" t="n">
        <v>0.72534247</v>
      </c>
      <c r="R495" t="n">
        <v>0.74952055</v>
      </c>
      <c r="S495" t="n">
        <v>0.74952055</v>
      </c>
      <c r="T495" t="n">
        <v>0.72534247</v>
      </c>
      <c r="U495" t="n">
        <v>0.74952055</v>
      </c>
      <c r="V495" t="n">
        <v>0.72534247</v>
      </c>
      <c r="W495" t="n">
        <v>0.74952055</v>
      </c>
      <c r="X495" t="n">
        <v>0.02707945</v>
      </c>
      <c r="Y495" t="n">
        <v>0.02707945</v>
      </c>
      <c r="Z495" t="n">
        <v>0.02707945</v>
      </c>
      <c r="AA495" t="n">
        <v>0.02707945</v>
      </c>
      <c r="AB495" t="n">
        <v>0.02707945</v>
      </c>
      <c r="AC495" t="n">
        <v>0.02707945</v>
      </c>
      <c r="AD495" t="n">
        <v>0.02707945</v>
      </c>
      <c r="AE495" t="n">
        <v>0.02707945</v>
      </c>
      <c r="AF495" t="n">
        <v>0.02707945</v>
      </c>
      <c r="AG495" t="n">
        <v>0.02707945</v>
      </c>
      <c r="AH495" t="n">
        <v>0.02707945</v>
      </c>
      <c r="AI495" t="n">
        <v>0.02707945</v>
      </c>
    </row>
    <row r="496">
      <c r="A496" t="n">
        <v>122</v>
      </c>
      <c r="B496" s="13" t="n">
        <v>46388</v>
      </c>
      <c r="C496" s="13" t="n">
        <v>2958465</v>
      </c>
      <c r="D496" s="13" t="n">
        <v>46388</v>
      </c>
      <c r="E496" t="n">
        <v>1</v>
      </c>
      <c r="G496" t="n">
        <v>4.386</v>
      </c>
      <c r="H496" t="n">
        <v>1.20284548</v>
      </c>
      <c r="I496" t="n">
        <v>1.20284548</v>
      </c>
      <c r="J496" t="n">
        <v>1.21606356</v>
      </c>
      <c r="K496" t="n">
        <v>1.21606356</v>
      </c>
      <c r="L496" t="n">
        <v>0.77606164</v>
      </c>
      <c r="M496" t="n">
        <v>0.72599315</v>
      </c>
      <c r="N496" t="n">
        <v>0.77606164</v>
      </c>
      <c r="O496" t="n">
        <v>0.7510274</v>
      </c>
      <c r="P496" t="n">
        <v>0.77606164</v>
      </c>
      <c r="Q496" t="n">
        <v>0.7510274</v>
      </c>
      <c r="R496" t="n">
        <v>0.77606164</v>
      </c>
      <c r="S496" t="n">
        <v>0.77606164</v>
      </c>
      <c r="T496" t="n">
        <v>0.7510274</v>
      </c>
      <c r="U496" t="n">
        <v>0.77606164</v>
      </c>
      <c r="V496" t="n">
        <v>0.7510274</v>
      </c>
      <c r="W496" t="n">
        <v>0.77606164</v>
      </c>
      <c r="X496" t="n">
        <v>0.02803836</v>
      </c>
      <c r="Y496" t="n">
        <v>0.02803836</v>
      </c>
      <c r="Z496" t="n">
        <v>0.02803836</v>
      </c>
      <c r="AA496" t="n">
        <v>0.02803836</v>
      </c>
      <c r="AB496" t="n">
        <v>0.02803836</v>
      </c>
      <c r="AC496" t="n">
        <v>0.02803836</v>
      </c>
      <c r="AD496" t="n">
        <v>0.02803836</v>
      </c>
      <c r="AE496" t="n">
        <v>0.02803836</v>
      </c>
      <c r="AF496" t="n">
        <v>0.02803836</v>
      </c>
      <c r="AG496" t="n">
        <v>0.02803836</v>
      </c>
      <c r="AH496" t="n">
        <v>0.02803836</v>
      </c>
      <c r="AI496" t="n">
        <v>0.02803836</v>
      </c>
    </row>
    <row r="497">
      <c r="A497" t="n">
        <v>123</v>
      </c>
      <c r="B497" s="13" t="n">
        <v>46023</v>
      </c>
      <c r="C497" s="13" t="n">
        <v>46387</v>
      </c>
      <c r="D497" s="13" t="n">
        <v>46023</v>
      </c>
      <c r="E497" t="n">
        <v>0</v>
      </c>
      <c r="F497" s="13" t="n">
        <v>46387</v>
      </c>
      <c r="G497" t="n">
        <v>20.26188</v>
      </c>
      <c r="H497" t="n">
        <v>5.495688</v>
      </c>
      <c r="I497" t="n">
        <v>5.5567512</v>
      </c>
      <c r="J497" t="n">
        <v>5.6178144</v>
      </c>
      <c r="K497" t="n">
        <v>5.6178144</v>
      </c>
      <c r="L497" t="n">
        <v>2.15109</v>
      </c>
      <c r="M497" t="n">
        <v>1.94292</v>
      </c>
      <c r="N497" t="n">
        <v>2.15109</v>
      </c>
      <c r="O497" t="n">
        <v>2.0817</v>
      </c>
      <c r="P497" t="n">
        <v>2.15109</v>
      </c>
      <c r="Q497" t="n">
        <v>2.0817</v>
      </c>
      <c r="R497" t="n">
        <v>2.15109</v>
      </c>
      <c r="S497" t="n">
        <v>2.15109</v>
      </c>
      <c r="T497" t="n">
        <v>2.0817</v>
      </c>
      <c r="U497" t="n">
        <v>2.15109</v>
      </c>
      <c r="V497" t="n">
        <v>2.0817</v>
      </c>
      <c r="W497" t="n">
        <v>2.15109</v>
      </c>
      <c r="X497" t="n">
        <v>0.1082484</v>
      </c>
      <c r="Y497" t="n">
        <v>0.1082484</v>
      </c>
      <c r="Z497" t="n">
        <v>0.1082484</v>
      </c>
      <c r="AA497" t="n">
        <v>0.1082484</v>
      </c>
      <c r="AB497" t="n">
        <v>0.1082484</v>
      </c>
      <c r="AC497" t="n">
        <v>0.1082484</v>
      </c>
      <c r="AD497" t="n">
        <v>0.1082484</v>
      </c>
      <c r="AE497" t="n">
        <v>0.1082484</v>
      </c>
      <c r="AF497" t="n">
        <v>0.1082484</v>
      </c>
      <c r="AG497" t="n">
        <v>0.1082484</v>
      </c>
      <c r="AH497" t="n">
        <v>0.1082484</v>
      </c>
      <c r="AI497" t="n">
        <v>0.1082484</v>
      </c>
    </row>
    <row r="498">
      <c r="A498" t="n">
        <v>123</v>
      </c>
      <c r="B498" s="13" t="n">
        <v>46388</v>
      </c>
      <c r="C498" s="13" t="n">
        <v>2958465</v>
      </c>
      <c r="D498" s="13" t="n">
        <v>46388</v>
      </c>
      <c r="E498" t="n">
        <v>1</v>
      </c>
      <c r="G498" t="n">
        <v>32.92008</v>
      </c>
      <c r="H498" t="n">
        <v>7.7814</v>
      </c>
      <c r="I498" t="n">
        <v>7.86786</v>
      </c>
      <c r="J498" t="n">
        <v>7.95432</v>
      </c>
      <c r="K498" t="n">
        <v>7.95432</v>
      </c>
      <c r="L498" t="n">
        <v>3.49494</v>
      </c>
      <c r="M498" t="n">
        <v>3.15672</v>
      </c>
      <c r="N498" t="n">
        <v>3.49494</v>
      </c>
      <c r="O498" t="n">
        <v>3.3822</v>
      </c>
      <c r="P498" t="n">
        <v>3.49494</v>
      </c>
      <c r="Q498" t="n">
        <v>3.3822</v>
      </c>
      <c r="R498" t="n">
        <v>3.49494</v>
      </c>
      <c r="S498" t="n">
        <v>3.49494</v>
      </c>
      <c r="T498" t="n">
        <v>3.3822</v>
      </c>
      <c r="U498" t="n">
        <v>3.49494</v>
      </c>
      <c r="V498" t="n">
        <v>3.3822</v>
      </c>
      <c r="W498" t="n">
        <v>3.49494</v>
      </c>
      <c r="X498" t="n">
        <v>0.1443072</v>
      </c>
      <c r="Y498" t="n">
        <v>0.1443072</v>
      </c>
      <c r="Z498" t="n">
        <v>0.1443072</v>
      </c>
      <c r="AA498" t="n">
        <v>0.1443072</v>
      </c>
      <c r="AB498" t="n">
        <v>0.1443072</v>
      </c>
      <c r="AC498" t="n">
        <v>0.1443072</v>
      </c>
      <c r="AD498" t="n">
        <v>0.1443072</v>
      </c>
      <c r="AE498" t="n">
        <v>0.1443072</v>
      </c>
      <c r="AF498" t="n">
        <v>0.1443072</v>
      </c>
      <c r="AG498" t="n">
        <v>0.1443072</v>
      </c>
      <c r="AH498" t="n">
        <v>0.1443072</v>
      </c>
      <c r="AI498" t="n">
        <v>0.1443072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TSO code</t>
        </is>
      </c>
      <c r="B1" s="3" t="inlineStr">
        <is>
          <t>TSO</t>
        </is>
      </c>
      <c r="C1" s="3" t="inlineStr">
        <is>
          <t>Currency</t>
        </is>
      </c>
      <c r="D1" s="3" t="inlineStr">
        <is>
          <t>Unit</t>
        </is>
      </c>
      <c r="E1" s="3" t="inlineStr">
        <is>
          <t>Currency decimals</t>
        </is>
      </c>
      <c r="F1" s="3" t="inlineStr">
        <is>
          <t>Tariff decimals</t>
        </is>
      </c>
      <c r="G1" s="3" t="inlineStr">
        <is>
          <t>Equal months: gas year</t>
        </is>
      </c>
      <c r="H1" s="3" t="inlineStr">
        <is>
          <t>Equal months: quarter</t>
        </is>
      </c>
      <c r="I1" s="3" t="inlineStr">
        <is>
          <t>Hours per unit</t>
        </is>
      </c>
    </row>
    <row r="2">
      <c r="A2" t="inlineStr">
        <is>
          <t>AMBERGR</t>
        </is>
      </c>
      <c r="B2" t="inlineStr">
        <is>
          <t>Amber Grid</t>
        </is>
      </c>
      <c r="C2" t="inlineStr">
        <is>
          <t>EUR</t>
        </is>
      </c>
      <c r="D2" t="inlineStr">
        <is>
          <t>kWh/h</t>
        </is>
      </c>
      <c r="E2" t="n">
        <v>2</v>
      </c>
      <c r="G2" t="inlineStr">
        <is>
          <t>no</t>
        </is>
      </c>
      <c r="H2" t="inlineStr">
        <is>
          <t>no</t>
        </is>
      </c>
      <c r="I2" t="n">
        <v>24</v>
      </c>
    </row>
    <row r="3">
      <c r="A3" t="inlineStr">
        <is>
          <t>BGTRGAZ</t>
        </is>
      </c>
      <c r="B3" t="inlineStr">
        <is>
          <t>Bulgartransgaz</t>
        </is>
      </c>
      <c r="C3" t="inlineStr">
        <is>
          <t>EUR</t>
        </is>
      </c>
      <c r="D3" t="inlineStr">
        <is>
          <t>kWh/d</t>
        </is>
      </c>
      <c r="E3" t="n">
        <v>2</v>
      </c>
      <c r="G3" t="inlineStr">
        <is>
          <t>no</t>
        </is>
      </c>
      <c r="H3" t="inlineStr">
        <is>
          <t>no</t>
        </is>
      </c>
      <c r="I3" t="n">
        <v>1</v>
      </c>
    </row>
    <row r="4">
      <c r="A4" t="inlineStr">
        <is>
          <t>DESFA</t>
        </is>
      </c>
      <c r="B4" t="inlineStr">
        <is>
          <t>DESFA</t>
        </is>
      </c>
      <c r="C4" t="inlineStr">
        <is>
          <t>EUR</t>
        </is>
      </c>
      <c r="D4" t="inlineStr">
        <is>
          <t>kWh/h</t>
        </is>
      </c>
      <c r="E4" t="n">
        <v>2</v>
      </c>
      <c r="G4" t="inlineStr">
        <is>
          <t>no</t>
        </is>
      </c>
      <c r="H4" t="inlineStr">
        <is>
          <t>no</t>
        </is>
      </c>
      <c r="I4" t="n">
        <v>24</v>
      </c>
    </row>
    <row r="5">
      <c r="A5" t="inlineStr">
        <is>
          <t>EUSTR</t>
        </is>
      </c>
      <c r="B5" t="inlineStr">
        <is>
          <t>Eustream</t>
        </is>
      </c>
      <c r="C5" t="inlineStr">
        <is>
          <t>EUR</t>
        </is>
      </c>
      <c r="D5" t="inlineStr">
        <is>
          <t>kWh/h</t>
        </is>
      </c>
      <c r="E5" t="n">
        <v>2</v>
      </c>
      <c r="G5" t="inlineStr">
        <is>
          <t>yes</t>
        </is>
      </c>
      <c r="H5" t="inlineStr">
        <is>
          <t>yes</t>
        </is>
      </c>
      <c r="I5" t="n">
        <v>24</v>
      </c>
    </row>
    <row r="6">
      <c r="A6" t="inlineStr">
        <is>
          <t>FGSZ</t>
        </is>
      </c>
      <c r="B6" t="inlineStr">
        <is>
          <t>FGSZ</t>
        </is>
      </c>
      <c r="C6" t="inlineStr">
        <is>
          <t>HUF</t>
        </is>
      </c>
      <c r="D6" t="inlineStr">
        <is>
          <t>kWh/h</t>
        </is>
      </c>
      <c r="E6" t="n">
        <v>0</v>
      </c>
      <c r="G6" t="inlineStr">
        <is>
          <t>yes</t>
        </is>
      </c>
      <c r="H6" t="inlineStr">
        <is>
          <t>yes</t>
        </is>
      </c>
      <c r="I6" t="n">
        <v>24</v>
      </c>
    </row>
    <row r="7">
      <c r="A7" t="inlineStr">
        <is>
          <t>GASCADE</t>
        </is>
      </c>
      <c r="B7" t="inlineStr">
        <is>
          <t>GASCADE</t>
        </is>
      </c>
      <c r="C7" t="inlineStr">
        <is>
          <t>EUR</t>
        </is>
      </c>
      <c r="D7" t="inlineStr">
        <is>
          <t>kWh/h</t>
        </is>
      </c>
      <c r="E7" t="n">
        <v>2</v>
      </c>
      <c r="G7" t="inlineStr">
        <is>
          <t>no</t>
        </is>
      </c>
      <c r="H7" t="inlineStr">
        <is>
          <t>no</t>
        </is>
      </c>
      <c r="I7" t="n">
        <v>24</v>
      </c>
    </row>
    <row r="8">
      <c r="A8" t="inlineStr">
        <is>
          <t>GAZSYS</t>
        </is>
      </c>
      <c r="B8" t="inlineStr">
        <is>
          <t>GAZ-SYSTEM</t>
        </is>
      </c>
      <c r="C8" t="inlineStr">
        <is>
          <t>PLN</t>
        </is>
      </c>
      <c r="D8" t="inlineStr">
        <is>
          <t>kWh/h</t>
        </is>
      </c>
      <c r="E8" t="n">
        <v>2</v>
      </c>
      <c r="G8" t="inlineStr">
        <is>
          <t>no</t>
        </is>
      </c>
      <c r="H8" t="inlineStr">
        <is>
          <t>no</t>
        </is>
      </c>
      <c r="I8" t="n">
        <v>24</v>
      </c>
    </row>
    <row r="9">
      <c r="A9" t="inlineStr">
        <is>
          <t>GCA</t>
        </is>
      </c>
      <c r="B9" t="inlineStr">
        <is>
          <t>Gas Connect Austria</t>
        </is>
      </c>
      <c r="C9" t="inlineStr">
        <is>
          <t>EUR</t>
        </is>
      </c>
      <c r="D9" t="inlineStr">
        <is>
          <t>kWh/h</t>
        </is>
      </c>
      <c r="E9" t="n">
        <v>2</v>
      </c>
      <c r="F9" t="n">
        <v>4</v>
      </c>
      <c r="G9" t="inlineStr">
        <is>
          <t>yes</t>
        </is>
      </c>
      <c r="H9" t="inlineStr">
        <is>
          <t>yes</t>
        </is>
      </c>
      <c r="I9" t="n">
        <v>24</v>
      </c>
    </row>
    <row r="10">
      <c r="A10" t="inlineStr">
        <is>
          <t>GTS</t>
        </is>
      </c>
      <c r="B10" t="inlineStr">
        <is>
          <t>Gasunie Transport Services</t>
        </is>
      </c>
      <c r="C10" t="inlineStr">
        <is>
          <t>EUR</t>
        </is>
      </c>
      <c r="D10" t="inlineStr">
        <is>
          <t>kWh/h</t>
        </is>
      </c>
      <c r="E10" t="n">
        <v>2</v>
      </c>
      <c r="G10" t="inlineStr">
        <is>
          <t>no</t>
        </is>
      </c>
      <c r="H10" t="inlineStr">
        <is>
          <t>no</t>
        </is>
      </c>
      <c r="I10" t="n">
        <v>24</v>
      </c>
    </row>
    <row r="11">
      <c r="A11" t="inlineStr">
        <is>
          <t>Gastran</t>
        </is>
      </c>
      <c r="B11" t="inlineStr">
        <is>
          <t>Gastrans</t>
        </is>
      </c>
      <c r="C11" t="inlineStr">
        <is>
          <t>EUR</t>
        </is>
      </c>
      <c r="D11" t="inlineStr">
        <is>
          <t>kWh/h</t>
        </is>
      </c>
      <c r="E11" t="n">
        <v>2</v>
      </c>
      <c r="G11" t="inlineStr">
        <is>
          <t>no</t>
        </is>
      </c>
      <c r="H11" t="inlineStr">
        <is>
          <t>yes</t>
        </is>
      </c>
      <c r="I11" t="n">
        <v>24</v>
      </c>
    </row>
    <row r="12">
      <c r="A12" t="inlineStr">
        <is>
          <t>Gasunie</t>
        </is>
      </c>
      <c r="B12" t="inlineStr">
        <is>
          <t>Gasunie Deutschland</t>
        </is>
      </c>
      <c r="C12" t="inlineStr">
        <is>
          <t>EUR</t>
        </is>
      </c>
      <c r="D12" t="inlineStr">
        <is>
          <t>kWh/h</t>
        </is>
      </c>
      <c r="E12" t="n">
        <v>2</v>
      </c>
      <c r="G12" t="inlineStr">
        <is>
          <t>no</t>
        </is>
      </c>
      <c r="H12" t="inlineStr">
        <is>
          <t>no</t>
        </is>
      </c>
      <c r="I12" t="n">
        <v>24</v>
      </c>
    </row>
    <row r="13">
      <c r="A13" t="inlineStr">
        <is>
          <t>ICGB</t>
        </is>
      </c>
      <c r="B13" t="inlineStr">
        <is>
          <t>ICGB</t>
        </is>
      </c>
      <c r="C13" t="inlineStr">
        <is>
          <t>EUR</t>
        </is>
      </c>
      <c r="D13" t="inlineStr">
        <is>
          <t>kWh/d</t>
        </is>
      </c>
      <c r="E13" t="n">
        <v>2</v>
      </c>
      <c r="G13" t="inlineStr">
        <is>
          <t>no</t>
        </is>
      </c>
      <c r="H13" t="inlineStr">
        <is>
          <t>no</t>
        </is>
      </c>
      <c r="I13" t="n">
        <v>1</v>
      </c>
    </row>
    <row r="14">
      <c r="A14" t="inlineStr">
        <is>
          <t>NET4GAS</t>
        </is>
      </c>
      <c r="B14" t="inlineStr">
        <is>
          <t>NET4GAS</t>
        </is>
      </c>
      <c r="C14" t="inlineStr">
        <is>
          <t>CZK</t>
        </is>
      </c>
      <c r="D14" t="inlineStr">
        <is>
          <t>kWh/h</t>
        </is>
      </c>
      <c r="E14" t="n">
        <v>2</v>
      </c>
      <c r="G14" t="inlineStr">
        <is>
          <t>yes</t>
        </is>
      </c>
      <c r="H14" t="inlineStr">
        <is>
          <t>yes</t>
        </is>
      </c>
      <c r="I14" t="n">
        <v>24</v>
      </c>
    </row>
    <row r="15">
      <c r="A15" t="inlineStr">
        <is>
          <t>OGE</t>
        </is>
      </c>
      <c r="B15" t="inlineStr">
        <is>
          <t>Open Grid Europe</t>
        </is>
      </c>
      <c r="C15" t="inlineStr">
        <is>
          <t>EUR</t>
        </is>
      </c>
      <c r="D15" t="inlineStr">
        <is>
          <t>kWh/h</t>
        </is>
      </c>
      <c r="E15" t="n">
        <v>2</v>
      </c>
      <c r="G15" t="inlineStr">
        <is>
          <t>no</t>
        </is>
      </c>
      <c r="H15" t="inlineStr">
        <is>
          <t>no</t>
        </is>
      </c>
      <c r="I15" t="n">
        <v>24</v>
      </c>
    </row>
    <row r="16">
      <c r="A16" t="inlineStr">
        <is>
          <t>Plinovo</t>
        </is>
      </c>
      <c r="B16" t="inlineStr">
        <is>
          <t>Plinovodi</t>
        </is>
      </c>
      <c r="C16" t="inlineStr">
        <is>
          <t>EUR</t>
        </is>
      </c>
      <c r="D16" t="inlineStr">
        <is>
          <t>kWh/h</t>
        </is>
      </c>
      <c r="E16" t="n">
        <v>2</v>
      </c>
      <c r="G16" t="inlineStr">
        <is>
          <t>no</t>
        </is>
      </c>
      <c r="H16" t="inlineStr">
        <is>
          <t>no</t>
        </is>
      </c>
      <c r="I16" t="n">
        <v>24</v>
      </c>
    </row>
    <row r="17">
      <c r="A17" t="inlineStr">
        <is>
          <t>TAG</t>
        </is>
      </c>
      <c r="B17" t="inlineStr">
        <is>
          <t>Trans Austria Gasleitung</t>
        </is>
      </c>
      <c r="C17" t="inlineStr">
        <is>
          <t>EUR</t>
        </is>
      </c>
      <c r="D17" t="inlineStr">
        <is>
          <t>kWh/h</t>
        </is>
      </c>
      <c r="E17" t="n">
        <v>2</v>
      </c>
      <c r="G17" t="inlineStr">
        <is>
          <t>no</t>
        </is>
      </c>
      <c r="H17" t="inlineStr">
        <is>
          <t>no</t>
        </is>
      </c>
      <c r="I17" t="n">
        <v>24</v>
      </c>
    </row>
    <row r="18">
      <c r="A18" t="inlineStr">
        <is>
          <t>TAP</t>
        </is>
      </c>
      <c r="B18" t="inlineStr">
        <is>
          <t>Trans Adriatic Pipeline</t>
        </is>
      </c>
      <c r="C18" t="inlineStr">
        <is>
          <t>EUR</t>
        </is>
      </c>
      <c r="D18" t="inlineStr">
        <is>
          <t>kWh/d</t>
        </is>
      </c>
      <c r="E18" t="n">
        <v>2</v>
      </c>
      <c r="G18" t="inlineStr">
        <is>
          <t>no</t>
        </is>
      </c>
      <c r="H18" t="inlineStr">
        <is>
          <t>no</t>
        </is>
      </c>
      <c r="I18" t="n">
        <v>1</v>
      </c>
    </row>
    <row r="19">
      <c r="A19" t="inlineStr">
        <is>
          <t>TRANSGA</t>
        </is>
      </c>
      <c r="B19" t="inlineStr">
        <is>
          <t>Transgaz</t>
        </is>
      </c>
      <c r="C19" t="inlineStr">
        <is>
          <t>RON</t>
        </is>
      </c>
      <c r="D19" t="inlineStr">
        <is>
          <t>kWh/h</t>
        </is>
      </c>
      <c r="E19" t="n">
        <v>2</v>
      </c>
      <c r="G19" t="inlineStr">
        <is>
          <t>no</t>
        </is>
      </c>
      <c r="H19" t="inlineStr">
        <is>
          <t>no</t>
        </is>
      </c>
      <c r="I19" t="n">
        <v>24</v>
      </c>
    </row>
    <row r="20">
      <c r="A20" t="inlineStr">
        <is>
          <t>UKRTRAG</t>
        </is>
      </c>
      <c r="B20" t="inlineStr">
        <is>
          <t>Gas TSO of Ukraine</t>
        </is>
      </c>
      <c r="C20" t="inlineStr">
        <is>
          <t>EUR</t>
        </is>
      </c>
      <c r="D20" t="inlineStr">
        <is>
          <t>kWh/d</t>
        </is>
      </c>
      <c r="E20" t="n">
        <v>2</v>
      </c>
      <c r="G20" t="inlineStr">
        <is>
          <t>no</t>
        </is>
      </c>
      <c r="H20" t="inlineStr">
        <is>
          <t>no</t>
        </is>
      </c>
      <c r="I20" t="n">
        <v>1</v>
      </c>
    </row>
    <row r="21">
      <c r="A21" t="inlineStr">
        <is>
          <t>plinacr</t>
        </is>
      </c>
      <c r="B21" t="inlineStr">
        <is>
          <t>Plinacro</t>
        </is>
      </c>
      <c r="C21" t="inlineStr">
        <is>
          <t>EUR</t>
        </is>
      </c>
      <c r="D21" t="inlineStr">
        <is>
          <t>kWh/d</t>
        </is>
      </c>
      <c r="E21" t="n">
        <v>2</v>
      </c>
      <c r="G21" t="inlineStr">
        <is>
          <t>no</t>
        </is>
      </c>
      <c r="H21" t="inlineStr">
        <is>
          <t>no</t>
        </is>
      </c>
      <c r="I21" t="n">
        <v>1</v>
      </c>
    </row>
    <row r="22">
      <c r="A22" t="inlineStr">
        <is>
          <t>snam</t>
        </is>
      </c>
      <c r="B22" t="inlineStr">
        <is>
          <t>Snam Rete Gas</t>
        </is>
      </c>
      <c r="C22" t="inlineStr">
        <is>
          <t>EUR</t>
        </is>
      </c>
      <c r="D22" t="inlineStr">
        <is>
          <t>kWh/h</t>
        </is>
      </c>
      <c r="E22" t="n">
        <v>2</v>
      </c>
      <c r="G22" t="inlineStr">
        <is>
          <t>no</t>
        </is>
      </c>
      <c r="H22" t="inlineStr">
        <is>
          <t>no</t>
        </is>
      </c>
      <c r="I2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2026-10-30T08:13:41Z</dcterms:created>
  <dcterms:modified xsi:type="dcterms:W3CDTF">2026-10-30T08:13:41Z</dcterms:modified>
</cp:coreProperties>
</file>